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130ceae2620dce/Documents/"/>
    </mc:Choice>
  </mc:AlternateContent>
  <xr:revisionPtr revIDLastSave="286" documentId="8_{B1302054-EB3A-4571-85BB-9209A2429FF1}" xr6:coauthVersionLast="47" xr6:coauthVersionMax="47" xr10:uidLastSave="{663162D1-40E3-4986-865C-32C79782DB01}"/>
  <bookViews>
    <workbookView xWindow="-108" yWindow="-108" windowWidth="23256" windowHeight="13896" tabRatio="780" xr2:uid="{E5B9D478-468A-42C3-8E68-68B3D1587D0E}"/>
  </bookViews>
  <sheets>
    <sheet name="DASHBORD " sheetId="1" r:id="rId1"/>
    <sheet name="_Sales" sheetId="6" r:id="rId2"/>
    <sheet name="Purchases" sheetId="5" r:id="rId3"/>
    <sheet name="Expenses" sheetId="4" r:id="rId4"/>
    <sheet name="Customers" sheetId="2" r:id="rId5"/>
    <sheet name="Manager_Questions" sheetId="3" r:id="rId6"/>
    <sheet name="PIVIT TABLES " sheetId="7" r:id="rId7"/>
  </sheets>
  <definedNames>
    <definedName name="_xlcn.WorksheetConnection_Book1.xlsxTable71" hidden="1">Table7[]</definedName>
    <definedName name="_xlcn.WorksheetConnection_Book1Customers1" hidden="1">Customers</definedName>
    <definedName name="_xlcn.WorksheetConnection_Book1Expenses1" hidden="1">Expenses[]</definedName>
    <definedName name="_xlcn.WorksheetConnection_Book1Manager_Questions1" hidden="1">Manager_Questions[]</definedName>
    <definedName name="_xlcn.WorksheetConnection_Book1Purchases1" hidden="1">Purchases[]</definedName>
    <definedName name="_xlcn.WorksheetConnection_Book1Raw_Sales1" hidden="1">Raw_Sales[]</definedName>
    <definedName name="ExternalData_1" localSheetId="4" hidden="1">Customers!#REF!</definedName>
    <definedName name="ExternalData_2" localSheetId="5" hidden="1">Manager_Questions!$A$1:$B$9</definedName>
    <definedName name="ExternalData_3" localSheetId="3" hidden="1">Expenses!$A$1:$E$61</definedName>
    <definedName name="ExternalData_4" localSheetId="2" hidden="1">Purchases!$A$1:$I$181</definedName>
    <definedName name="ExternalData_5" localSheetId="1" hidden="1">_Sales!$A$1:$R$651</definedName>
    <definedName name="Timeline_Date">#N/A</definedName>
  </definedNames>
  <calcPr calcId="191029"/>
  <pivotCaches>
    <pivotCache cacheId="0" r:id="rId8"/>
    <pivotCache cacheId="1" r:id="rId9"/>
    <pivotCache cacheId="2" r:id="rId10"/>
    <pivotCache cacheId="3" r:id="rId11"/>
    <pivotCache cacheId="4" r:id="rId12"/>
    <pivotCache cacheId="5" r:id="rId13"/>
    <pivotCache cacheId="6" r:id="rId14"/>
    <pivotCache cacheId="7" r:id="rId15"/>
    <pivotCache cacheId="8" r:id="rId16"/>
    <pivotCache cacheId="9" r:id="rId17"/>
    <pivotCache cacheId="10" r:id="rId18"/>
    <pivotCache cacheId="11" r:id="rId19"/>
    <pivotCache cacheId="12" r:id="rId20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13" r:id="rId21"/>
      </x15:timelineCachePivotCaches>
    </ext>
    <ext xmlns:x15="http://schemas.microsoft.com/office/spreadsheetml/2010/11/main" uri="{D0CA8CA8-9F24-4464-BF8E-62219DCF47F9}">
      <x15:timelineCacheRefs>
        <x15:timelineCacheRef r:id="rId22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w_Sales" name="Raw_Sales" connection="WorksheetConnection_Book1!Raw_Sales"/>
          <x15:modelTable id="Purchases" name="Purchases" connection="WorksheetConnection_Book1!Purchases"/>
          <x15:modelTable id="Manager_Questions" name="Manager_Questions" connection="WorksheetConnection_Book1!Manager_Questions"/>
          <x15:modelTable id="Expenses" name="Expenses" connection="WorksheetConnection_Book1!Expenses"/>
          <x15:modelTable id="Customers" name="Customers" connection="WorksheetConnection_Book1!Customers"/>
          <x15:modelTable id="Table7" name="Table7" connection="WorksheetConnection_Book1.xlsx!Table7"/>
        </x15:modelTables>
        <x15:modelRelationships>
          <x15:modelRelationship fromTable="Raw_Sales" fromColumn="Product ID" toTable="Purchases" toColumn="Purchase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2" i="4" l="1"/>
  <c r="F182" i="5"/>
  <c r="H18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B48888-5DAC-4DF2-BD1F-7B09F4E7DB0D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B071F496-A084-4232-B6CD-FDE00125D6B1}" keepAlive="1" name="Query - Expenses" description="Connection to the 'Expenses' query in the workbook." type="5" refreshedVersion="8" background="1" saveData="1">
    <dbPr connection="Provider=Microsoft.Mashup.OleDb.1;Data Source=$Workbook$;Location=Expenses;Extended Properties=&quot;&quot;" command="SELECT * FROM [Expenses]"/>
  </connection>
  <connection id="3" xr16:uid="{6AF1991F-3899-4137-A8F0-960DFC457CCC}" keepAlive="1" name="Query - Manager_Questions" description="Connection to the 'Manager_Questions' query in the workbook." type="5" refreshedVersion="8" background="1" saveData="1">
    <dbPr connection="Provider=Microsoft.Mashup.OleDb.1;Data Source=$Workbook$;Location=Manager_Questions;Extended Properties=&quot;&quot;" command="SELECT * FROM [Manager_Questions]"/>
  </connection>
  <connection id="4" xr16:uid="{70441368-387E-4EF2-BE0A-19888A36AC6E}" keepAlive="1" name="Query - Purchases" description="Connection to the 'Purchases' query in the workbook." type="5" refreshedVersion="8" background="1" saveData="1">
    <dbPr connection="Provider=Microsoft.Mashup.OleDb.1;Data Source=$Workbook$;Location=Purchases;Extended Properties=&quot;&quot;" command="SELECT * FROM [Purchases]"/>
  </connection>
  <connection id="5" xr16:uid="{1698EFC9-90F8-43A7-B978-490FF4611DB8}" keepAlive="1" name="Query - Raw_Sales" description="Connection to the 'Raw_Sales' query in the workbook." type="5" refreshedVersion="8" background="1" saveData="1">
    <dbPr connection="Provider=Microsoft.Mashup.OleDb.1;Data Source=$Workbook$;Location=Raw_Sales;Extended Properties=&quot;&quot;" command="SELECT * FROM [Raw_Sales]"/>
  </connection>
  <connection id="6" xr16:uid="{B7EE3458-169C-4B5C-939F-AB609BFA7B7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86549C9C-A6C4-45E2-83EE-6119AB75CF28}" name="WorksheetConnection_Book1!Customers" type="102" refreshedVersion="8" minRefreshableVersion="5">
    <extLst>
      <ext xmlns:x15="http://schemas.microsoft.com/office/spreadsheetml/2010/11/main" uri="{DE250136-89BD-433C-8126-D09CA5730AF9}">
        <x15:connection id="Customers">
          <x15:rangePr sourceName="_xlcn.WorksheetConnection_Book1Customers1"/>
        </x15:connection>
      </ext>
    </extLst>
  </connection>
  <connection id="8" xr16:uid="{AD92DBD1-19B7-45AC-8D0F-2418F2EB4941}" name="WorksheetConnection_Book1!Expenses" type="102" refreshedVersion="8" minRefreshableVersion="5">
    <extLst>
      <ext xmlns:x15="http://schemas.microsoft.com/office/spreadsheetml/2010/11/main" uri="{DE250136-89BD-433C-8126-D09CA5730AF9}">
        <x15:connection id="Expenses">
          <x15:rangePr sourceName="_xlcn.WorksheetConnection_Book1Expenses1"/>
        </x15:connection>
      </ext>
    </extLst>
  </connection>
  <connection id="9" xr16:uid="{274F448C-DC0E-4734-9BCF-2C5E80406D31}" name="WorksheetConnection_Book1!Manager_Questions" type="102" refreshedVersion="8" minRefreshableVersion="5">
    <extLst>
      <ext xmlns:x15="http://schemas.microsoft.com/office/spreadsheetml/2010/11/main" uri="{DE250136-89BD-433C-8126-D09CA5730AF9}">
        <x15:connection id="Manager_Questions">
          <x15:rangePr sourceName="_xlcn.WorksheetConnection_Book1Manager_Questions1"/>
        </x15:connection>
      </ext>
    </extLst>
  </connection>
  <connection id="10" xr16:uid="{C3A57D43-BDBA-4768-8A2B-50A5BF7D9CBC}" name="WorksheetConnection_Book1!Purchases" type="102" refreshedVersion="8" minRefreshableVersion="5">
    <extLst>
      <ext xmlns:x15="http://schemas.microsoft.com/office/spreadsheetml/2010/11/main" uri="{DE250136-89BD-433C-8126-D09CA5730AF9}">
        <x15:connection id="Purchases">
          <x15:rangePr sourceName="_xlcn.WorksheetConnection_Book1Purchases1"/>
        </x15:connection>
      </ext>
    </extLst>
  </connection>
  <connection id="11" xr16:uid="{7FE504C0-770A-4BE3-93F1-96A19DA640D9}" name="WorksheetConnection_Book1!Raw_Sales" type="102" refreshedVersion="8" minRefreshableVersion="5">
    <extLst>
      <ext xmlns:x15="http://schemas.microsoft.com/office/spreadsheetml/2010/11/main" uri="{DE250136-89BD-433C-8126-D09CA5730AF9}">
        <x15:connection id="Raw_Sales">
          <x15:rangePr sourceName="_xlcn.WorksheetConnection_Book1Raw_Sales1"/>
        </x15:connection>
      </ext>
    </extLst>
  </connection>
  <connection id="12" xr16:uid="{E258D305-F5C9-4FF6-94D1-03C79DCD7C2F}" name="WorksheetConnection_Book1.xlsx!Table7" type="102" refreshedVersion="8" minRefreshableVersion="5">
    <extLst>
      <ext xmlns:x15="http://schemas.microsoft.com/office/spreadsheetml/2010/11/main" uri="{DE250136-89BD-433C-8126-D09CA5730AF9}">
        <x15:connection id="Table7">
          <x15:rangePr sourceName="_xlcn.WorksheetConnection_Book1.xlsxTable71"/>
        </x15:connection>
      </ext>
    </extLst>
  </connection>
</connections>
</file>

<file path=xl/sharedStrings.xml><?xml version="1.0" encoding="utf-8"?>
<sst xmlns="http://schemas.openxmlformats.org/spreadsheetml/2006/main" count="8110" uniqueCount="1268">
  <si>
    <t>Column1</t>
  </si>
  <si>
    <t>Column2</t>
  </si>
  <si>
    <t>Column3</t>
  </si>
  <si>
    <t>Customer ID</t>
  </si>
  <si>
    <t>Customer Name</t>
  </si>
  <si>
    <t>City</t>
  </si>
  <si>
    <t>CUST001</t>
  </si>
  <si>
    <t>Customer 1</t>
  </si>
  <si>
    <t>Indore</t>
  </si>
  <si>
    <t>CUST002</t>
  </si>
  <si>
    <t>Customer 2</t>
  </si>
  <si>
    <t>CUST003</t>
  </si>
  <si>
    <t>Customer 3</t>
  </si>
  <si>
    <t>Jabalpur</t>
  </si>
  <si>
    <t>CUST004</t>
  </si>
  <si>
    <t>Customer 4</t>
  </si>
  <si>
    <t>CUST005</t>
  </si>
  <si>
    <t>Customer 5</t>
  </si>
  <si>
    <t>Bhopal</t>
  </si>
  <si>
    <t>CUST006</t>
  </si>
  <si>
    <t>Customer 6</t>
  </si>
  <si>
    <t>CUST007</t>
  </si>
  <si>
    <t>Customer 7</t>
  </si>
  <si>
    <t>CUST008</t>
  </si>
  <si>
    <t>Customer 8</t>
  </si>
  <si>
    <t>CUST009</t>
  </si>
  <si>
    <t>Customer 9</t>
  </si>
  <si>
    <t>CUST010</t>
  </si>
  <si>
    <t>Customer 10</t>
  </si>
  <si>
    <t>CUST011</t>
  </si>
  <si>
    <t>Customer 11</t>
  </si>
  <si>
    <t>CUST012</t>
  </si>
  <si>
    <t>Customer 12</t>
  </si>
  <si>
    <t>CUST013</t>
  </si>
  <si>
    <t>Customer 13</t>
  </si>
  <si>
    <t>CUST014</t>
  </si>
  <si>
    <t>Customer 14</t>
  </si>
  <si>
    <t>CUST015</t>
  </si>
  <si>
    <t>Customer 15</t>
  </si>
  <si>
    <t>CUST016</t>
  </si>
  <si>
    <t>Customer 16</t>
  </si>
  <si>
    <t>CUST017</t>
  </si>
  <si>
    <t>Customer 17</t>
  </si>
  <si>
    <t>CUST018</t>
  </si>
  <si>
    <t>Customer 18</t>
  </si>
  <si>
    <t>CUST019</t>
  </si>
  <si>
    <t>Customer 19</t>
  </si>
  <si>
    <t>CUST020</t>
  </si>
  <si>
    <t>Customer 20</t>
  </si>
  <si>
    <t>CUST021</t>
  </si>
  <si>
    <t>Customer 21</t>
  </si>
  <si>
    <t>CUST022</t>
  </si>
  <si>
    <t>Customer 22</t>
  </si>
  <si>
    <t>CUST023</t>
  </si>
  <si>
    <t>Customer 23</t>
  </si>
  <si>
    <t>CUST024</t>
  </si>
  <si>
    <t>Customer 24</t>
  </si>
  <si>
    <t>CUST025</t>
  </si>
  <si>
    <t>Customer 25</t>
  </si>
  <si>
    <t>CUST026</t>
  </si>
  <si>
    <t>Customer 26</t>
  </si>
  <si>
    <t>CUST027</t>
  </si>
  <si>
    <t>Customer 27</t>
  </si>
  <si>
    <t>CUST028</t>
  </si>
  <si>
    <t>Customer 28</t>
  </si>
  <si>
    <t>CUST029</t>
  </si>
  <si>
    <t>Customer 29</t>
  </si>
  <si>
    <t>CUST030</t>
  </si>
  <si>
    <t>Customer 30</t>
  </si>
  <si>
    <t>CUST031</t>
  </si>
  <si>
    <t>Customer 31</t>
  </si>
  <si>
    <t>CUST032</t>
  </si>
  <si>
    <t>Customer 32</t>
  </si>
  <si>
    <t>CUST033</t>
  </si>
  <si>
    <t>Customer 33</t>
  </si>
  <si>
    <t>CUST034</t>
  </si>
  <si>
    <t>Customer 34</t>
  </si>
  <si>
    <t>CUST035</t>
  </si>
  <si>
    <t>Customer 35</t>
  </si>
  <si>
    <t>CUST036</t>
  </si>
  <si>
    <t>Customer 36</t>
  </si>
  <si>
    <t>CUST037</t>
  </si>
  <si>
    <t>Customer 37</t>
  </si>
  <si>
    <t>CUST038</t>
  </si>
  <si>
    <t>Customer 38</t>
  </si>
  <si>
    <t>CUST039</t>
  </si>
  <si>
    <t>Customer 39</t>
  </si>
  <si>
    <t>CUST040</t>
  </si>
  <si>
    <t>Customer 40</t>
  </si>
  <si>
    <t>CUST041</t>
  </si>
  <si>
    <t>Customer 41</t>
  </si>
  <si>
    <t>CUST042</t>
  </si>
  <si>
    <t>Customer 42</t>
  </si>
  <si>
    <t>CUST043</t>
  </si>
  <si>
    <t>Customer 43</t>
  </si>
  <si>
    <t>CUST044</t>
  </si>
  <si>
    <t>Customer 44</t>
  </si>
  <si>
    <t>CUST045</t>
  </si>
  <si>
    <t>Customer 45</t>
  </si>
  <si>
    <t>CUST046</t>
  </si>
  <si>
    <t>Customer 46</t>
  </si>
  <si>
    <t>CUST047</t>
  </si>
  <si>
    <t>Customer 47</t>
  </si>
  <si>
    <t>CUST048</t>
  </si>
  <si>
    <t>Customer 48</t>
  </si>
  <si>
    <t>CUST049</t>
  </si>
  <si>
    <t>Customer 49</t>
  </si>
  <si>
    <t>CUST050</t>
  </si>
  <si>
    <t>Customer 50</t>
  </si>
  <si>
    <t>CUST051</t>
  </si>
  <si>
    <t>Customer 51</t>
  </si>
  <si>
    <t>CUST052</t>
  </si>
  <si>
    <t>Customer 52</t>
  </si>
  <si>
    <t>CUST053</t>
  </si>
  <si>
    <t>Customer 53</t>
  </si>
  <si>
    <t>CUST054</t>
  </si>
  <si>
    <t>Customer 54</t>
  </si>
  <si>
    <t>CUST055</t>
  </si>
  <si>
    <t>Customer 55</t>
  </si>
  <si>
    <t>CUST056</t>
  </si>
  <si>
    <t>Customer 56</t>
  </si>
  <si>
    <t>CUST057</t>
  </si>
  <si>
    <t>Customer 57</t>
  </si>
  <si>
    <t>CUST058</t>
  </si>
  <si>
    <t>Customer 58</t>
  </si>
  <si>
    <t>CUST059</t>
  </si>
  <si>
    <t>Customer 59</t>
  </si>
  <si>
    <t>CUST060</t>
  </si>
  <si>
    <t>Customer 60</t>
  </si>
  <si>
    <t>CUST061</t>
  </si>
  <si>
    <t>Customer 61</t>
  </si>
  <si>
    <t>CUST062</t>
  </si>
  <si>
    <t>Customer 62</t>
  </si>
  <si>
    <t>CUST063</t>
  </si>
  <si>
    <t>Customer 63</t>
  </si>
  <si>
    <t>CUST064</t>
  </si>
  <si>
    <t>Customer 64</t>
  </si>
  <si>
    <t>CUST065</t>
  </si>
  <si>
    <t>Customer 65</t>
  </si>
  <si>
    <t>CUST066</t>
  </si>
  <si>
    <t>Customer 66</t>
  </si>
  <si>
    <t>CUST067</t>
  </si>
  <si>
    <t>Customer 67</t>
  </si>
  <si>
    <t>CUST068</t>
  </si>
  <si>
    <t>Customer 68</t>
  </si>
  <si>
    <t>CUST069</t>
  </si>
  <si>
    <t>Customer 69</t>
  </si>
  <si>
    <t>CUST070</t>
  </si>
  <si>
    <t>Customer 70</t>
  </si>
  <si>
    <t>CUST071</t>
  </si>
  <si>
    <t>Customer 71</t>
  </si>
  <si>
    <t>CUST072</t>
  </si>
  <si>
    <t>Customer 72</t>
  </si>
  <si>
    <t>CUST073</t>
  </si>
  <si>
    <t>Customer 73</t>
  </si>
  <si>
    <t>CUST074</t>
  </si>
  <si>
    <t>Customer 74</t>
  </si>
  <si>
    <t>CUST075</t>
  </si>
  <si>
    <t>Customer 75</t>
  </si>
  <si>
    <t>CUST076</t>
  </si>
  <si>
    <t>Customer 76</t>
  </si>
  <si>
    <t>CUST077</t>
  </si>
  <si>
    <t>Customer 77</t>
  </si>
  <si>
    <t>CUST078</t>
  </si>
  <si>
    <t>Customer 78</t>
  </si>
  <si>
    <t>CUST079</t>
  </si>
  <si>
    <t>Customer 79</t>
  </si>
  <si>
    <t>CUST080</t>
  </si>
  <si>
    <t>Customer 80</t>
  </si>
  <si>
    <t>CUST081</t>
  </si>
  <si>
    <t>Customer 81</t>
  </si>
  <si>
    <t>CUST082</t>
  </si>
  <si>
    <t>Customer 82</t>
  </si>
  <si>
    <t>CUST083</t>
  </si>
  <si>
    <t>Customer 83</t>
  </si>
  <si>
    <t>CUST084</t>
  </si>
  <si>
    <t>Customer 84</t>
  </si>
  <si>
    <t>CUST085</t>
  </si>
  <si>
    <t>Customer 85</t>
  </si>
  <si>
    <t>CUST086</t>
  </si>
  <si>
    <t>Customer 86</t>
  </si>
  <si>
    <t>CUST087</t>
  </si>
  <si>
    <t>Customer 87</t>
  </si>
  <si>
    <t>CUST088</t>
  </si>
  <si>
    <t>Customer 88</t>
  </si>
  <si>
    <t>CUST089</t>
  </si>
  <si>
    <t>Customer 89</t>
  </si>
  <si>
    <t>CUST090</t>
  </si>
  <si>
    <t>Customer 90</t>
  </si>
  <si>
    <t>CUST091</t>
  </si>
  <si>
    <t>Customer 91</t>
  </si>
  <si>
    <t>CUST092</t>
  </si>
  <si>
    <t>Customer 92</t>
  </si>
  <si>
    <t>CUST093</t>
  </si>
  <si>
    <t>Customer 93</t>
  </si>
  <si>
    <t>CUST094</t>
  </si>
  <si>
    <t>Customer 94</t>
  </si>
  <si>
    <t>CUST095</t>
  </si>
  <si>
    <t>Customer 95</t>
  </si>
  <si>
    <t>CUST096</t>
  </si>
  <si>
    <t>Customer 96</t>
  </si>
  <si>
    <t>CUST097</t>
  </si>
  <si>
    <t>Customer 97</t>
  </si>
  <si>
    <t>CUST098</t>
  </si>
  <si>
    <t>Customer 98</t>
  </si>
  <si>
    <t>CUST099</t>
  </si>
  <si>
    <t>Customer 99</t>
  </si>
  <si>
    <t>CUST100</t>
  </si>
  <si>
    <t>Customer 100</t>
  </si>
  <si>
    <t>CUST101</t>
  </si>
  <si>
    <t>Customer 101</t>
  </si>
  <si>
    <t>CUST102</t>
  </si>
  <si>
    <t>Customer 102</t>
  </si>
  <si>
    <t>CUST103</t>
  </si>
  <si>
    <t>Customer 103</t>
  </si>
  <si>
    <t>CUST104</t>
  </si>
  <si>
    <t>Customer 104</t>
  </si>
  <si>
    <t>CUST105</t>
  </si>
  <si>
    <t>Customer 105</t>
  </si>
  <si>
    <t>CUST106</t>
  </si>
  <si>
    <t>Customer 106</t>
  </si>
  <si>
    <t>CUST107</t>
  </si>
  <si>
    <t>Customer 107</t>
  </si>
  <si>
    <t>CUST108</t>
  </si>
  <si>
    <t>Customer 108</t>
  </si>
  <si>
    <t>CUST109</t>
  </si>
  <si>
    <t>Customer 109</t>
  </si>
  <si>
    <t>CUST110</t>
  </si>
  <si>
    <t>Customer 110</t>
  </si>
  <si>
    <t>CUST111</t>
  </si>
  <si>
    <t>Customer 111</t>
  </si>
  <si>
    <t>CUST112</t>
  </si>
  <si>
    <t>Customer 112</t>
  </si>
  <si>
    <t>CUST113</t>
  </si>
  <si>
    <t>Customer 113</t>
  </si>
  <si>
    <t>CUST114</t>
  </si>
  <si>
    <t>Customer 114</t>
  </si>
  <si>
    <t>CUST115</t>
  </si>
  <si>
    <t>Customer 115</t>
  </si>
  <si>
    <t>CUST116</t>
  </si>
  <si>
    <t>Customer 116</t>
  </si>
  <si>
    <t>CUST117</t>
  </si>
  <si>
    <t>Customer 117</t>
  </si>
  <si>
    <t>CUST118</t>
  </si>
  <si>
    <t>Customer 118</t>
  </si>
  <si>
    <t>CUST119</t>
  </si>
  <si>
    <t>Customer 119</t>
  </si>
  <si>
    <t>CUST120</t>
  </si>
  <si>
    <t>Customer 120</t>
  </si>
  <si>
    <t>No</t>
  </si>
  <si>
    <t>Manager Question</t>
  </si>
  <si>
    <t>What is total sales revenue?</t>
  </si>
  <si>
    <t>What is total gross profit?</t>
  </si>
  <si>
    <t>What is gross margin percentage?</t>
  </si>
  <si>
    <t>How many units were sold?</t>
  </si>
  <si>
    <t>How many orders/invoices were generated?</t>
  </si>
  <si>
    <t>What is the average order value (AOV)?</t>
  </si>
  <si>
    <t>Which month had the highest sales?</t>
  </si>
  <si>
    <t>What is profit after operating expenses?</t>
  </si>
  <si>
    <t>Expense ID</t>
  </si>
  <si>
    <t>Date</t>
  </si>
  <si>
    <t>Expense Category</t>
  </si>
  <si>
    <t>Amount</t>
  </si>
  <si>
    <t>Store</t>
  </si>
  <si>
    <t>EXP7001</t>
  </si>
  <si>
    <t>Transport</t>
  </si>
  <si>
    <t>City Store</t>
  </si>
  <si>
    <t>EXP7002</t>
  </si>
  <si>
    <t>Rent</t>
  </si>
  <si>
    <t>Main Store</t>
  </si>
  <si>
    <t>EXP7003</t>
  </si>
  <si>
    <t>Marketing</t>
  </si>
  <si>
    <t>EXP7004</t>
  </si>
  <si>
    <t>EXP7005</t>
  </si>
  <si>
    <t>EXP7006</t>
  </si>
  <si>
    <t>Salaries</t>
  </si>
  <si>
    <t>EXP7007</t>
  </si>
  <si>
    <t>Maintenance</t>
  </si>
  <si>
    <t>EXP7008</t>
  </si>
  <si>
    <t>EXP7009</t>
  </si>
  <si>
    <t>EXP7010</t>
  </si>
  <si>
    <t>EXP7011</t>
  </si>
  <si>
    <t>EXP7012</t>
  </si>
  <si>
    <t>EXP7013</t>
  </si>
  <si>
    <t>EXP7014</t>
  </si>
  <si>
    <t>EXP7015</t>
  </si>
  <si>
    <t>EXP7016</t>
  </si>
  <si>
    <t>EXP7017</t>
  </si>
  <si>
    <t>EXP7018</t>
  </si>
  <si>
    <t>EXP7019</t>
  </si>
  <si>
    <t>EXP7020</t>
  </si>
  <si>
    <t>EXP7021</t>
  </si>
  <si>
    <t>EXP7022</t>
  </si>
  <si>
    <t>EXP7023</t>
  </si>
  <si>
    <t>EXP7024</t>
  </si>
  <si>
    <t>EXP7025</t>
  </si>
  <si>
    <t>Electricity</t>
  </si>
  <si>
    <t>EXP7026</t>
  </si>
  <si>
    <t>EXP7027</t>
  </si>
  <si>
    <t>EXP7028</t>
  </si>
  <si>
    <t>EXP7029</t>
  </si>
  <si>
    <t>EXP7030</t>
  </si>
  <si>
    <t>EXP7031</t>
  </si>
  <si>
    <t>EXP7032</t>
  </si>
  <si>
    <t>EXP7033</t>
  </si>
  <si>
    <t>EXP7034</t>
  </si>
  <si>
    <t>EXP7035</t>
  </si>
  <si>
    <t>EXP7036</t>
  </si>
  <si>
    <t>EXP7037</t>
  </si>
  <si>
    <t>EXP7038</t>
  </si>
  <si>
    <t>EXP7039</t>
  </si>
  <si>
    <t>EXP7040</t>
  </si>
  <si>
    <t>EXP7041</t>
  </si>
  <si>
    <t>EXP7042</t>
  </si>
  <si>
    <t>EXP7043</t>
  </si>
  <si>
    <t>EXP7044</t>
  </si>
  <si>
    <t>EXP7045</t>
  </si>
  <si>
    <t>EXP7046</t>
  </si>
  <si>
    <t>EXP7047</t>
  </si>
  <si>
    <t>EXP7048</t>
  </si>
  <si>
    <t>EXP7049</t>
  </si>
  <si>
    <t>EXP7050</t>
  </si>
  <si>
    <t>EXP7051</t>
  </si>
  <si>
    <t>EXP7052</t>
  </si>
  <si>
    <t>EXP7053</t>
  </si>
  <si>
    <t>EXP7054</t>
  </si>
  <si>
    <t>EXP7055</t>
  </si>
  <si>
    <t>EXP7056</t>
  </si>
  <si>
    <t>EXP7057</t>
  </si>
  <si>
    <t>EXP7058</t>
  </si>
  <si>
    <t>EXP7059</t>
  </si>
  <si>
    <t>EXP7060</t>
  </si>
  <si>
    <t>Purchase ID</t>
  </si>
  <si>
    <t>Product ID</t>
  </si>
  <si>
    <t>Product</t>
  </si>
  <si>
    <t>Category</t>
  </si>
  <si>
    <t>Quantity</t>
  </si>
  <si>
    <t>Unit Cost</t>
  </si>
  <si>
    <t>Purchase Amount</t>
  </si>
  <si>
    <t>Supplier</t>
  </si>
  <si>
    <t>PUR5001</t>
  </si>
  <si>
    <t>P005</t>
  </si>
  <si>
    <t>Polo T-Shirt</t>
  </si>
  <si>
    <t>T-Shirts</t>
  </si>
  <si>
    <t>PUR5002</t>
  </si>
  <si>
    <t>P002</t>
  </si>
  <si>
    <t>Casual Shirt</t>
  </si>
  <si>
    <t>Shirts</t>
  </si>
  <si>
    <t>Fashion Hub</t>
  </si>
  <si>
    <t>PUR5003</t>
  </si>
  <si>
    <t>P012</t>
  </si>
  <si>
    <t>Kurta</t>
  </si>
  <si>
    <t>Ethnic Wear</t>
  </si>
  <si>
    <t>Style Suppliers</t>
  </si>
  <si>
    <t>PUR5004</t>
  </si>
  <si>
    <t>P004</t>
  </si>
  <si>
    <t>Basic T-Shirt</t>
  </si>
  <si>
    <t>PUR5005</t>
  </si>
  <si>
    <t>Urban Wear</t>
  </si>
  <si>
    <t>PUR5006</t>
  </si>
  <si>
    <t>P007</t>
  </si>
  <si>
    <t>Regular Jeans</t>
  </si>
  <si>
    <t>Jeans</t>
  </si>
  <si>
    <t>Royal Textiles</t>
  </si>
  <si>
    <t>PUR5007</t>
  </si>
  <si>
    <t>PUR5008</t>
  </si>
  <si>
    <t>P013</t>
  </si>
  <si>
    <t>Kurta Set</t>
  </si>
  <si>
    <t>PUR5009</t>
  </si>
  <si>
    <t>P010</t>
  </si>
  <si>
    <t>Hoodie</t>
  </si>
  <si>
    <t>Winter Wear</t>
  </si>
  <si>
    <t>PUR5010</t>
  </si>
  <si>
    <t>PUR5011</t>
  </si>
  <si>
    <t>P015</t>
  </si>
  <si>
    <t>Kids Jeans</t>
  </si>
  <si>
    <t>Kids Wear</t>
  </si>
  <si>
    <t>PUR5012</t>
  </si>
  <si>
    <t>PUR5013</t>
  </si>
  <si>
    <t>PUR5014</t>
  </si>
  <si>
    <t>PUR5015</t>
  </si>
  <si>
    <t>PUR5016</t>
  </si>
  <si>
    <t>P009</t>
  </si>
  <si>
    <t>Formal Trousers</t>
  </si>
  <si>
    <t>Trousers</t>
  </si>
  <si>
    <t>PUR5017</t>
  </si>
  <si>
    <t>PUR5018</t>
  </si>
  <si>
    <t>P001</t>
  </si>
  <si>
    <t>Formal Shirt</t>
  </si>
  <si>
    <t>PUR5019</t>
  </si>
  <si>
    <t>PUR5020</t>
  </si>
  <si>
    <t>PUR5021</t>
  </si>
  <si>
    <t>PUR5022</t>
  </si>
  <si>
    <t>P011</t>
  </si>
  <si>
    <t>Sweatshirt</t>
  </si>
  <si>
    <t>PUR5023</t>
  </si>
  <si>
    <t>P014</t>
  </si>
  <si>
    <t>Kids Shirt</t>
  </si>
  <si>
    <t>PUR5024</t>
  </si>
  <si>
    <t>PUR5025</t>
  </si>
  <si>
    <t>P008</t>
  </si>
  <si>
    <t>Cotton Trousers</t>
  </si>
  <si>
    <t>PUR5026</t>
  </si>
  <si>
    <t>PUR5027</t>
  </si>
  <si>
    <t>PUR5028</t>
  </si>
  <si>
    <t>PUR5029</t>
  </si>
  <si>
    <t>PUR5030</t>
  </si>
  <si>
    <t>PUR5031</t>
  </si>
  <si>
    <t>PUR5032</t>
  </si>
  <si>
    <t>PUR5033</t>
  </si>
  <si>
    <t>PUR5034</t>
  </si>
  <si>
    <t>PUR5035</t>
  </si>
  <si>
    <t>PUR5036</t>
  </si>
  <si>
    <t>PUR5037</t>
  </si>
  <si>
    <t>PUR5038</t>
  </si>
  <si>
    <t>P003</t>
  </si>
  <si>
    <t>Premium Shirt</t>
  </si>
  <si>
    <t>PUR5039</t>
  </si>
  <si>
    <t>PUR5040</t>
  </si>
  <si>
    <t>P006</t>
  </si>
  <si>
    <t>Slim Jeans</t>
  </si>
  <si>
    <t>PUR5041</t>
  </si>
  <si>
    <t>PUR5042</t>
  </si>
  <si>
    <t>PUR5043</t>
  </si>
  <si>
    <t>PUR5044</t>
  </si>
  <si>
    <t>PUR5045</t>
  </si>
  <si>
    <t>PUR5046</t>
  </si>
  <si>
    <t>PUR5047</t>
  </si>
  <si>
    <t>PUR5048</t>
  </si>
  <si>
    <t>PUR5049</t>
  </si>
  <si>
    <t>PUR5050</t>
  </si>
  <si>
    <t>PUR5051</t>
  </si>
  <si>
    <t>PUR5052</t>
  </si>
  <si>
    <t>PUR5053</t>
  </si>
  <si>
    <t>PUR5054</t>
  </si>
  <si>
    <t>PUR5055</t>
  </si>
  <si>
    <t>PUR5056</t>
  </si>
  <si>
    <t>PUR5057</t>
  </si>
  <si>
    <t>PUR5058</t>
  </si>
  <si>
    <t>PUR5059</t>
  </si>
  <si>
    <t>PUR5060</t>
  </si>
  <si>
    <t>PUR5061</t>
  </si>
  <si>
    <t>PUR5062</t>
  </si>
  <si>
    <t>PUR5063</t>
  </si>
  <si>
    <t>PUR5064</t>
  </si>
  <si>
    <t>PUR5065</t>
  </si>
  <si>
    <t>PUR5066</t>
  </si>
  <si>
    <t>PUR5067</t>
  </si>
  <si>
    <t>PUR5068</t>
  </si>
  <si>
    <t>PUR5069</t>
  </si>
  <si>
    <t>PUR5070</t>
  </si>
  <si>
    <t>PUR5071</t>
  </si>
  <si>
    <t>PUR5072</t>
  </si>
  <si>
    <t>PUR5073</t>
  </si>
  <si>
    <t>PUR5074</t>
  </si>
  <si>
    <t>PUR5075</t>
  </si>
  <si>
    <t>PUR5076</t>
  </si>
  <si>
    <t>PUR5077</t>
  </si>
  <si>
    <t>PUR5078</t>
  </si>
  <si>
    <t>PUR5079</t>
  </si>
  <si>
    <t>PUR5080</t>
  </si>
  <si>
    <t>PUR5081</t>
  </si>
  <si>
    <t>PUR5082</t>
  </si>
  <si>
    <t>PUR5083</t>
  </si>
  <si>
    <t>PUR5084</t>
  </si>
  <si>
    <t>PUR5085</t>
  </si>
  <si>
    <t>PUR5086</t>
  </si>
  <si>
    <t>PUR5087</t>
  </si>
  <si>
    <t>PUR5088</t>
  </si>
  <si>
    <t>PUR5089</t>
  </si>
  <si>
    <t>PUR5090</t>
  </si>
  <si>
    <t>PUR5091</t>
  </si>
  <si>
    <t>PUR5092</t>
  </si>
  <si>
    <t>PUR5093</t>
  </si>
  <si>
    <t>PUR5094</t>
  </si>
  <si>
    <t>PUR5095</t>
  </si>
  <si>
    <t>PUR5096</t>
  </si>
  <si>
    <t>PUR5097</t>
  </si>
  <si>
    <t>PUR5098</t>
  </si>
  <si>
    <t>PUR5099</t>
  </si>
  <si>
    <t>PUR5100</t>
  </si>
  <si>
    <t>PUR5101</t>
  </si>
  <si>
    <t>PUR5102</t>
  </si>
  <si>
    <t>PUR5103</t>
  </si>
  <si>
    <t>PUR5104</t>
  </si>
  <si>
    <t>PUR5105</t>
  </si>
  <si>
    <t>PUR5106</t>
  </si>
  <si>
    <t>PUR5107</t>
  </si>
  <si>
    <t>PUR5108</t>
  </si>
  <si>
    <t>PUR5109</t>
  </si>
  <si>
    <t>PUR5110</t>
  </si>
  <si>
    <t>PUR5111</t>
  </si>
  <si>
    <t>PUR5112</t>
  </si>
  <si>
    <t>PUR5113</t>
  </si>
  <si>
    <t>PUR5114</t>
  </si>
  <si>
    <t>PUR5115</t>
  </si>
  <si>
    <t>PUR5116</t>
  </si>
  <si>
    <t>PUR5117</t>
  </si>
  <si>
    <t>PUR5118</t>
  </si>
  <si>
    <t>PUR5119</t>
  </si>
  <si>
    <t>PUR5120</t>
  </si>
  <si>
    <t>PUR5121</t>
  </si>
  <si>
    <t>PUR5122</t>
  </si>
  <si>
    <t>PUR5123</t>
  </si>
  <si>
    <t>PUR5124</t>
  </si>
  <si>
    <t>PUR5125</t>
  </si>
  <si>
    <t>PUR5126</t>
  </si>
  <si>
    <t>PUR5127</t>
  </si>
  <si>
    <t>PUR5128</t>
  </si>
  <si>
    <t>PUR5129</t>
  </si>
  <si>
    <t>PUR5130</t>
  </si>
  <si>
    <t>PUR5131</t>
  </si>
  <si>
    <t>PUR5132</t>
  </si>
  <si>
    <t>PUR5133</t>
  </si>
  <si>
    <t>PUR5134</t>
  </si>
  <si>
    <t>PUR5135</t>
  </si>
  <si>
    <t>PUR5136</t>
  </si>
  <si>
    <t>PUR5137</t>
  </si>
  <si>
    <t>PUR5138</t>
  </si>
  <si>
    <t>PUR5139</t>
  </si>
  <si>
    <t>PUR5140</t>
  </si>
  <si>
    <t>PUR5141</t>
  </si>
  <si>
    <t>PUR5142</t>
  </si>
  <si>
    <t>PUR5143</t>
  </si>
  <si>
    <t>PUR5144</t>
  </si>
  <si>
    <t>PUR5145</t>
  </si>
  <si>
    <t>PUR5146</t>
  </si>
  <si>
    <t>PUR5147</t>
  </si>
  <si>
    <t>PUR5148</t>
  </si>
  <si>
    <t>PUR5149</t>
  </si>
  <si>
    <t>PUR5150</t>
  </si>
  <si>
    <t>PUR5151</t>
  </si>
  <si>
    <t>PUR5152</t>
  </si>
  <si>
    <t>PUR5153</t>
  </si>
  <si>
    <t>PUR5154</t>
  </si>
  <si>
    <t>PUR5155</t>
  </si>
  <si>
    <t>PUR5156</t>
  </si>
  <si>
    <t>PUR5157</t>
  </si>
  <si>
    <t>PUR5158</t>
  </si>
  <si>
    <t>PUR5159</t>
  </si>
  <si>
    <t>PUR5160</t>
  </si>
  <si>
    <t>PUR5161</t>
  </si>
  <si>
    <t>PUR5162</t>
  </si>
  <si>
    <t>PUR5163</t>
  </si>
  <si>
    <t>PUR5164</t>
  </si>
  <si>
    <t>PUR5165</t>
  </si>
  <si>
    <t>PUR5166</t>
  </si>
  <si>
    <t>PUR5167</t>
  </si>
  <si>
    <t>PUR5168</t>
  </si>
  <si>
    <t>PUR5169</t>
  </si>
  <si>
    <t>PUR5170</t>
  </si>
  <si>
    <t>PUR5171</t>
  </si>
  <si>
    <t>PUR5172</t>
  </si>
  <si>
    <t>PUR5173</t>
  </si>
  <si>
    <t>PUR5174</t>
  </si>
  <si>
    <t>PUR5175</t>
  </si>
  <si>
    <t>PUR5176</t>
  </si>
  <si>
    <t>PUR5177</t>
  </si>
  <si>
    <t>PUR5178</t>
  </si>
  <si>
    <t>PUR5179</t>
  </si>
  <si>
    <t>PUR5180</t>
  </si>
  <si>
    <t>Invoice ID</t>
  </si>
  <si>
    <t>Unit Price</t>
  </si>
  <si>
    <t>Discount</t>
  </si>
  <si>
    <t>Salesperson</t>
  </si>
  <si>
    <t>Payment Method</t>
  </si>
  <si>
    <t>INV10001</t>
  </si>
  <si>
    <t>Sandeep</t>
  </si>
  <si>
    <t>UPI</t>
  </si>
  <si>
    <t>INV10002</t>
  </si>
  <si>
    <t>Neha</t>
  </si>
  <si>
    <t>Credit</t>
  </si>
  <si>
    <t>INV10003</t>
  </si>
  <si>
    <t>Amit</t>
  </si>
  <si>
    <t>Cash</t>
  </si>
  <si>
    <t>INV10004</t>
  </si>
  <si>
    <t>Priya</t>
  </si>
  <si>
    <t>INV10005</t>
  </si>
  <si>
    <t>INV10006</t>
  </si>
  <si>
    <t>Rohit</t>
  </si>
  <si>
    <t>INV10007</t>
  </si>
  <si>
    <t>INV10008</t>
  </si>
  <si>
    <t>INV10009</t>
  </si>
  <si>
    <t>INV10010</t>
  </si>
  <si>
    <t>INV10011</t>
  </si>
  <si>
    <t>Card</t>
  </si>
  <si>
    <t>INV10012</t>
  </si>
  <si>
    <t>INV10013</t>
  </si>
  <si>
    <t>INV10014</t>
  </si>
  <si>
    <t>INV10015</t>
  </si>
  <si>
    <t>INV10016</t>
  </si>
  <si>
    <t>INV10017</t>
  </si>
  <si>
    <t>INV10018</t>
  </si>
  <si>
    <t>jabalpur</t>
  </si>
  <si>
    <t>INV10019</t>
  </si>
  <si>
    <t>INV10020</t>
  </si>
  <si>
    <t>INV10021</t>
  </si>
  <si>
    <t>INV10022</t>
  </si>
  <si>
    <t>INV10023</t>
  </si>
  <si>
    <t>INV10024</t>
  </si>
  <si>
    <t>INV10025</t>
  </si>
  <si>
    <t>INV10026</t>
  </si>
  <si>
    <t>INV10027</t>
  </si>
  <si>
    <t>INV10028</t>
  </si>
  <si>
    <t>INV10029</t>
  </si>
  <si>
    <t>INV10030</t>
  </si>
  <si>
    <t>INV10031</t>
  </si>
  <si>
    <t>INV10032</t>
  </si>
  <si>
    <t>INV10033</t>
  </si>
  <si>
    <t>INV10034</t>
  </si>
  <si>
    <t>INV10035</t>
  </si>
  <si>
    <t>INV10036</t>
  </si>
  <si>
    <t>INV10037</t>
  </si>
  <si>
    <t>INV10038</t>
  </si>
  <si>
    <t>INV10039</t>
  </si>
  <si>
    <t>INV10040</t>
  </si>
  <si>
    <t>INV10041</t>
  </si>
  <si>
    <t>INV10042</t>
  </si>
  <si>
    <t>INV10043</t>
  </si>
  <si>
    <t>INV10044</t>
  </si>
  <si>
    <t>INV10045</t>
  </si>
  <si>
    <t>INV10046</t>
  </si>
  <si>
    <t>INV10047</t>
  </si>
  <si>
    <t>INV10048</t>
  </si>
  <si>
    <t>INV10049</t>
  </si>
  <si>
    <t>INV10050</t>
  </si>
  <si>
    <t>INV10051</t>
  </si>
  <si>
    <t>INV10052</t>
  </si>
  <si>
    <t>INV10053</t>
  </si>
  <si>
    <t>INV10054</t>
  </si>
  <si>
    <t>INV10055</t>
  </si>
  <si>
    <t>INV10056</t>
  </si>
  <si>
    <t>INV10057</t>
  </si>
  <si>
    <t>INV10058</t>
  </si>
  <si>
    <t>INV10059</t>
  </si>
  <si>
    <t>INV10060</t>
  </si>
  <si>
    <t>INV10061</t>
  </si>
  <si>
    <t>INV10062</t>
  </si>
  <si>
    <t>INV10063</t>
  </si>
  <si>
    <t>INV10064</t>
  </si>
  <si>
    <t>INV10065</t>
  </si>
  <si>
    <t>INV10066</t>
  </si>
  <si>
    <t>INV10067</t>
  </si>
  <si>
    <t>INV10068</t>
  </si>
  <si>
    <t>INV10069</t>
  </si>
  <si>
    <t>INV10070</t>
  </si>
  <si>
    <t>INV10071</t>
  </si>
  <si>
    <t>INV10072</t>
  </si>
  <si>
    <t>INV10073</t>
  </si>
  <si>
    <t>INV10074</t>
  </si>
  <si>
    <t>INV10075</t>
  </si>
  <si>
    <t>INV10076</t>
  </si>
  <si>
    <t>INV10077</t>
  </si>
  <si>
    <t>INV10078</t>
  </si>
  <si>
    <t>INV10079</t>
  </si>
  <si>
    <t>INV10080</t>
  </si>
  <si>
    <t>INV10081</t>
  </si>
  <si>
    <t>INV10082</t>
  </si>
  <si>
    <t>INV10083</t>
  </si>
  <si>
    <t>INV10084</t>
  </si>
  <si>
    <t>INV10085</t>
  </si>
  <si>
    <t>INV10086</t>
  </si>
  <si>
    <t>INV10087</t>
  </si>
  <si>
    <t>INV10088</t>
  </si>
  <si>
    <t>INV10089</t>
  </si>
  <si>
    <t>INV10090</t>
  </si>
  <si>
    <t>INV10091</t>
  </si>
  <si>
    <t>INV10092</t>
  </si>
  <si>
    <t>INV10093</t>
  </si>
  <si>
    <t>INV10094</t>
  </si>
  <si>
    <t>INV10095</t>
  </si>
  <si>
    <t>INV10096</t>
  </si>
  <si>
    <t>INV10097</t>
  </si>
  <si>
    <t>INV10098</t>
  </si>
  <si>
    <t>INV10099</t>
  </si>
  <si>
    <t>INV10100</t>
  </si>
  <si>
    <t>INV10101</t>
  </si>
  <si>
    <t>INV10102</t>
  </si>
  <si>
    <t>INV10103</t>
  </si>
  <si>
    <t>INV10104</t>
  </si>
  <si>
    <t>INV10105</t>
  </si>
  <si>
    <t>upi</t>
  </si>
  <si>
    <t>INV10106</t>
  </si>
  <si>
    <t>INV10107</t>
  </si>
  <si>
    <t>INV10108</t>
  </si>
  <si>
    <t>INV10109</t>
  </si>
  <si>
    <t>INV10110</t>
  </si>
  <si>
    <t>INV10111</t>
  </si>
  <si>
    <t>INV10112</t>
  </si>
  <si>
    <t>INV10113</t>
  </si>
  <si>
    <t>INV10114</t>
  </si>
  <si>
    <t>INV10115</t>
  </si>
  <si>
    <t>INV10116</t>
  </si>
  <si>
    <t>INV10117</t>
  </si>
  <si>
    <t>INV10118</t>
  </si>
  <si>
    <t>INV10119</t>
  </si>
  <si>
    <t>INV10120</t>
  </si>
  <si>
    <t>INV10121</t>
  </si>
  <si>
    <t>INV10122</t>
  </si>
  <si>
    <t>INV10123</t>
  </si>
  <si>
    <t>INV10124</t>
  </si>
  <si>
    <t>INV10125</t>
  </si>
  <si>
    <t>INV10126</t>
  </si>
  <si>
    <t>INV10127</t>
  </si>
  <si>
    <t>INV10128</t>
  </si>
  <si>
    <t>INV10129</t>
  </si>
  <si>
    <t>INV10130</t>
  </si>
  <si>
    <t>INV10131</t>
  </si>
  <si>
    <t>INV10132</t>
  </si>
  <si>
    <t>INV10133</t>
  </si>
  <si>
    <t>INV10134</t>
  </si>
  <si>
    <t>INV10135</t>
  </si>
  <si>
    <t>INV10136</t>
  </si>
  <si>
    <t>INV10137</t>
  </si>
  <si>
    <t>INV10138</t>
  </si>
  <si>
    <t>INV10139</t>
  </si>
  <si>
    <t>INV10140</t>
  </si>
  <si>
    <t>INV10141</t>
  </si>
  <si>
    <t>INV10142</t>
  </si>
  <si>
    <t>INV10143</t>
  </si>
  <si>
    <t>INV10144</t>
  </si>
  <si>
    <t>INV10145</t>
  </si>
  <si>
    <t>INV10146</t>
  </si>
  <si>
    <t>INV10147</t>
  </si>
  <si>
    <t>INV10148</t>
  </si>
  <si>
    <t>INV10149</t>
  </si>
  <si>
    <t>INV10150</t>
  </si>
  <si>
    <t>INV10151</t>
  </si>
  <si>
    <t>INV10152</t>
  </si>
  <si>
    <t>INV10153</t>
  </si>
  <si>
    <t>INV10154</t>
  </si>
  <si>
    <t>INV10155</t>
  </si>
  <si>
    <t>INV10156</t>
  </si>
  <si>
    <t>INV10157</t>
  </si>
  <si>
    <t>INV10158</t>
  </si>
  <si>
    <t>INV10159</t>
  </si>
  <si>
    <t>INV10160</t>
  </si>
  <si>
    <t>INV10161</t>
  </si>
  <si>
    <t>INV10162</t>
  </si>
  <si>
    <t>INV10163</t>
  </si>
  <si>
    <t>INV10164</t>
  </si>
  <si>
    <t>INV10165</t>
  </si>
  <si>
    <t>INV10166</t>
  </si>
  <si>
    <t>INV10167</t>
  </si>
  <si>
    <t>INV10168</t>
  </si>
  <si>
    <t>INV10169</t>
  </si>
  <si>
    <t>INV10170</t>
  </si>
  <si>
    <t>INV10171</t>
  </si>
  <si>
    <t>INV10172</t>
  </si>
  <si>
    <t>INV10173</t>
  </si>
  <si>
    <t>INV10174</t>
  </si>
  <si>
    <t>INV10175</t>
  </si>
  <si>
    <t>INV10176</t>
  </si>
  <si>
    <t>INV10177</t>
  </si>
  <si>
    <t>INV10178</t>
  </si>
  <si>
    <t>INV10179</t>
  </si>
  <si>
    <t>INV10180</t>
  </si>
  <si>
    <t>INV10181</t>
  </si>
  <si>
    <t>INV10182</t>
  </si>
  <si>
    <t>INV10183</t>
  </si>
  <si>
    <t>INV10184</t>
  </si>
  <si>
    <t>INV10185</t>
  </si>
  <si>
    <t>INV10186</t>
  </si>
  <si>
    <t>INV10187</t>
  </si>
  <si>
    <t>INV10188</t>
  </si>
  <si>
    <t>INV10189</t>
  </si>
  <si>
    <t>INV10190</t>
  </si>
  <si>
    <t>INV10191</t>
  </si>
  <si>
    <t>INV10192</t>
  </si>
  <si>
    <t>INV10193</t>
  </si>
  <si>
    <t>INV10194</t>
  </si>
  <si>
    <t>INV10195</t>
  </si>
  <si>
    <t>INV10196</t>
  </si>
  <si>
    <t>INV10197</t>
  </si>
  <si>
    <t>INV10198</t>
  </si>
  <si>
    <t>INV10199</t>
  </si>
  <si>
    <t>INV10200</t>
  </si>
  <si>
    <t>INV10201</t>
  </si>
  <si>
    <t>INV10202</t>
  </si>
  <si>
    <t>INV10203</t>
  </si>
  <si>
    <t>INV10204</t>
  </si>
  <si>
    <t>INV10205</t>
  </si>
  <si>
    <t>INV10206</t>
  </si>
  <si>
    <t>INV10207</t>
  </si>
  <si>
    <t>INV10208</t>
  </si>
  <si>
    <t>INV10209</t>
  </si>
  <si>
    <t>INV10210</t>
  </si>
  <si>
    <t>INV10211</t>
  </si>
  <si>
    <t>INV10212</t>
  </si>
  <si>
    <t>INV10213</t>
  </si>
  <si>
    <t>INV10214</t>
  </si>
  <si>
    <t>INV10215</t>
  </si>
  <si>
    <t>INV10216</t>
  </si>
  <si>
    <t>INV10217</t>
  </si>
  <si>
    <t>INV10218</t>
  </si>
  <si>
    <t>INV10219</t>
  </si>
  <si>
    <t>INV10220</t>
  </si>
  <si>
    <t>INV10221</t>
  </si>
  <si>
    <t>INV10222</t>
  </si>
  <si>
    <t>INV10223</t>
  </si>
  <si>
    <t>INV10224</t>
  </si>
  <si>
    <t>INV10225</t>
  </si>
  <si>
    <t>INV10226</t>
  </si>
  <si>
    <t>INV10227</t>
  </si>
  <si>
    <t>INV10228</t>
  </si>
  <si>
    <t>INV10229</t>
  </si>
  <si>
    <t>INV10230</t>
  </si>
  <si>
    <t>INV10231</t>
  </si>
  <si>
    <t>INV10232</t>
  </si>
  <si>
    <t>INV10233</t>
  </si>
  <si>
    <t>INV10234</t>
  </si>
  <si>
    <t>INV10235</t>
  </si>
  <si>
    <t>INV10236</t>
  </si>
  <si>
    <t>INV10237</t>
  </si>
  <si>
    <t>INV10238</t>
  </si>
  <si>
    <t>INV10239</t>
  </si>
  <si>
    <t>INV10240</t>
  </si>
  <si>
    <t>INV10241</t>
  </si>
  <si>
    <t>INV10242</t>
  </si>
  <si>
    <t>INV10243</t>
  </si>
  <si>
    <t>INV10244</t>
  </si>
  <si>
    <t>INV10245</t>
  </si>
  <si>
    <t>INV10246</t>
  </si>
  <si>
    <t>INV10247</t>
  </si>
  <si>
    <t>INV10248</t>
  </si>
  <si>
    <t>INV10249</t>
  </si>
  <si>
    <t>INV10250</t>
  </si>
  <si>
    <t>INV10251</t>
  </si>
  <si>
    <t>INV10252</t>
  </si>
  <si>
    <t>INV10253</t>
  </si>
  <si>
    <t>INV10254</t>
  </si>
  <si>
    <t>INV10255</t>
  </si>
  <si>
    <t>INV10256</t>
  </si>
  <si>
    <t>INV10257</t>
  </si>
  <si>
    <t>INV10258</t>
  </si>
  <si>
    <t>INV10259</t>
  </si>
  <si>
    <t>INV10260</t>
  </si>
  <si>
    <t>INV10261</t>
  </si>
  <si>
    <t>INV10262</t>
  </si>
  <si>
    <t>INV10263</t>
  </si>
  <si>
    <t>INV10264</t>
  </si>
  <si>
    <t>INV10265</t>
  </si>
  <si>
    <t>INV10266</t>
  </si>
  <si>
    <t>INV10267</t>
  </si>
  <si>
    <t>INV10268</t>
  </si>
  <si>
    <t>INV10269</t>
  </si>
  <si>
    <t>INV10270</t>
  </si>
  <si>
    <t>INV10271</t>
  </si>
  <si>
    <t>INV10272</t>
  </si>
  <si>
    <t>INV10273</t>
  </si>
  <si>
    <t>INV10274</t>
  </si>
  <si>
    <t>INV10275</t>
  </si>
  <si>
    <t>INV10276</t>
  </si>
  <si>
    <t>INV10277</t>
  </si>
  <si>
    <t>INV10278</t>
  </si>
  <si>
    <t>INV10279</t>
  </si>
  <si>
    <t>INV10280</t>
  </si>
  <si>
    <t>INV10281</t>
  </si>
  <si>
    <t>INV10282</t>
  </si>
  <si>
    <t>INV10283</t>
  </si>
  <si>
    <t>INV10284</t>
  </si>
  <si>
    <t>INV10285</t>
  </si>
  <si>
    <t>INV10286</t>
  </si>
  <si>
    <t>INV10287</t>
  </si>
  <si>
    <t>INV10288</t>
  </si>
  <si>
    <t>INV10289</t>
  </si>
  <si>
    <t>INV10290</t>
  </si>
  <si>
    <t>INV10291</t>
  </si>
  <si>
    <t>INV10292</t>
  </si>
  <si>
    <t>INV10293</t>
  </si>
  <si>
    <t>INV10294</t>
  </si>
  <si>
    <t>INV10295</t>
  </si>
  <si>
    <t>INV10296</t>
  </si>
  <si>
    <t>INV10297</t>
  </si>
  <si>
    <t>INV10298</t>
  </si>
  <si>
    <t>INV10299</t>
  </si>
  <si>
    <t>INV10300</t>
  </si>
  <si>
    <t>INV10301</t>
  </si>
  <si>
    <t>INV10302</t>
  </si>
  <si>
    <t>INV10303</t>
  </si>
  <si>
    <t>INV10304</t>
  </si>
  <si>
    <t>INV10305</t>
  </si>
  <si>
    <t>INV10306</t>
  </si>
  <si>
    <t>INV10307</t>
  </si>
  <si>
    <t>INV10308</t>
  </si>
  <si>
    <t>INV10309</t>
  </si>
  <si>
    <t>INV10310</t>
  </si>
  <si>
    <t>INV10311</t>
  </si>
  <si>
    <t>INV10312</t>
  </si>
  <si>
    <t>INV10313</t>
  </si>
  <si>
    <t>INV10314</t>
  </si>
  <si>
    <t>INV10315</t>
  </si>
  <si>
    <t>INV10316</t>
  </si>
  <si>
    <t>INV10317</t>
  </si>
  <si>
    <t>INV10318</t>
  </si>
  <si>
    <t>INV10319</t>
  </si>
  <si>
    <t>INV10320</t>
  </si>
  <si>
    <t>INV10321</t>
  </si>
  <si>
    <t>INV10322</t>
  </si>
  <si>
    <t>INV10323</t>
  </si>
  <si>
    <t>INV10324</t>
  </si>
  <si>
    <t>INV10325</t>
  </si>
  <si>
    <t>INV10326</t>
  </si>
  <si>
    <t>INV10327</t>
  </si>
  <si>
    <t>INV10328</t>
  </si>
  <si>
    <t>INV10329</t>
  </si>
  <si>
    <t>INV10330</t>
  </si>
  <si>
    <t>INV10331</t>
  </si>
  <si>
    <t>INV10332</t>
  </si>
  <si>
    <t>INV10333</t>
  </si>
  <si>
    <t>INV10334</t>
  </si>
  <si>
    <t>INV10335</t>
  </si>
  <si>
    <t>INV10336</t>
  </si>
  <si>
    <t>INV10337</t>
  </si>
  <si>
    <t>INV10338</t>
  </si>
  <si>
    <t>INV10339</t>
  </si>
  <si>
    <t>INV10340</t>
  </si>
  <si>
    <t>INV10341</t>
  </si>
  <si>
    <t>INV10342</t>
  </si>
  <si>
    <t>INV10343</t>
  </si>
  <si>
    <t>INV10344</t>
  </si>
  <si>
    <t>INV10345</t>
  </si>
  <si>
    <t>INV10346</t>
  </si>
  <si>
    <t>INV10347</t>
  </si>
  <si>
    <t>INV10348</t>
  </si>
  <si>
    <t>INV10349</t>
  </si>
  <si>
    <t>INV10350</t>
  </si>
  <si>
    <t>INV10351</t>
  </si>
  <si>
    <t>INV10352</t>
  </si>
  <si>
    <t>INV10353</t>
  </si>
  <si>
    <t>INV10354</t>
  </si>
  <si>
    <t>INV10355</t>
  </si>
  <si>
    <t>INV10356</t>
  </si>
  <si>
    <t>INV10357</t>
  </si>
  <si>
    <t>INV10358</t>
  </si>
  <si>
    <t>INV10359</t>
  </si>
  <si>
    <t>INV10360</t>
  </si>
  <si>
    <t>INV10361</t>
  </si>
  <si>
    <t>INV10362</t>
  </si>
  <si>
    <t>INV10363</t>
  </si>
  <si>
    <t>INV10364</t>
  </si>
  <si>
    <t>INV10365</t>
  </si>
  <si>
    <t>INV10366</t>
  </si>
  <si>
    <t>INV10367</t>
  </si>
  <si>
    <t>INV10368</t>
  </si>
  <si>
    <t>INV10369</t>
  </si>
  <si>
    <t>INV10370</t>
  </si>
  <si>
    <t>INV10371</t>
  </si>
  <si>
    <t>INV10372</t>
  </si>
  <si>
    <t>INV10373</t>
  </si>
  <si>
    <t>INV10374</t>
  </si>
  <si>
    <t>INV10375</t>
  </si>
  <si>
    <t>INV10376</t>
  </si>
  <si>
    <t>INV10377</t>
  </si>
  <si>
    <t>INV10378</t>
  </si>
  <si>
    <t>INV10379</t>
  </si>
  <si>
    <t>INV10380</t>
  </si>
  <si>
    <t>INV10381</t>
  </si>
  <si>
    <t>INV10382</t>
  </si>
  <si>
    <t>INV10383</t>
  </si>
  <si>
    <t>INV10384</t>
  </si>
  <si>
    <t>INV10385</t>
  </si>
  <si>
    <t>INV10386</t>
  </si>
  <si>
    <t>INV10387</t>
  </si>
  <si>
    <t>INV10388</t>
  </si>
  <si>
    <t>INV10389</t>
  </si>
  <si>
    <t>INV10390</t>
  </si>
  <si>
    <t>INV10391</t>
  </si>
  <si>
    <t>INV10392</t>
  </si>
  <si>
    <t>INV10393</t>
  </si>
  <si>
    <t>INV10394</t>
  </si>
  <si>
    <t>INV10395</t>
  </si>
  <si>
    <t>INV10396</t>
  </si>
  <si>
    <t>INV10397</t>
  </si>
  <si>
    <t>INV10398</t>
  </si>
  <si>
    <t>INV10399</t>
  </si>
  <si>
    <t>INV10400</t>
  </si>
  <si>
    <t>INV10401</t>
  </si>
  <si>
    <t>INV10402</t>
  </si>
  <si>
    <t>INV10403</t>
  </si>
  <si>
    <t>INV10404</t>
  </si>
  <si>
    <t>INV10405</t>
  </si>
  <si>
    <t>INV10406</t>
  </si>
  <si>
    <t>INV10407</t>
  </si>
  <si>
    <t>INV10408</t>
  </si>
  <si>
    <t>INV10409</t>
  </si>
  <si>
    <t>INV10410</t>
  </si>
  <si>
    <t>INV10411</t>
  </si>
  <si>
    <t>INV10412</t>
  </si>
  <si>
    <t>INV10413</t>
  </si>
  <si>
    <t>INV10414</t>
  </si>
  <si>
    <t>INV10415</t>
  </si>
  <si>
    <t>INV10416</t>
  </si>
  <si>
    <t>INV10417</t>
  </si>
  <si>
    <t>INV10418</t>
  </si>
  <si>
    <t>INV10419</t>
  </si>
  <si>
    <t>INV10420</t>
  </si>
  <si>
    <t>INV10421</t>
  </si>
  <si>
    <t>INV10422</t>
  </si>
  <si>
    <t>INV10423</t>
  </si>
  <si>
    <t>INV10424</t>
  </si>
  <si>
    <t>INV10425</t>
  </si>
  <si>
    <t>INV10426</t>
  </si>
  <si>
    <t>INV10427</t>
  </si>
  <si>
    <t>INV10428</t>
  </si>
  <si>
    <t>INV10429</t>
  </si>
  <si>
    <t>INV10430</t>
  </si>
  <si>
    <t>INV10431</t>
  </si>
  <si>
    <t>INV10432</t>
  </si>
  <si>
    <t>INV10433</t>
  </si>
  <si>
    <t>INV10434</t>
  </si>
  <si>
    <t>INV10435</t>
  </si>
  <si>
    <t>INV10436</t>
  </si>
  <si>
    <t>INV10437</t>
  </si>
  <si>
    <t>INV10438</t>
  </si>
  <si>
    <t>INV10439</t>
  </si>
  <si>
    <t>INV10440</t>
  </si>
  <si>
    <t>INV10441</t>
  </si>
  <si>
    <t>INV10442</t>
  </si>
  <si>
    <t>INV10443</t>
  </si>
  <si>
    <t>INV10444</t>
  </si>
  <si>
    <t>INV10445</t>
  </si>
  <si>
    <t>INV10446</t>
  </si>
  <si>
    <t>INV10447</t>
  </si>
  <si>
    <t>INV10448</t>
  </si>
  <si>
    <t>INV10449</t>
  </si>
  <si>
    <t>INV10450</t>
  </si>
  <si>
    <t>INV10451</t>
  </si>
  <si>
    <t>INV10452</t>
  </si>
  <si>
    <t>INV10453</t>
  </si>
  <si>
    <t>INV10454</t>
  </si>
  <si>
    <t>INV10455</t>
  </si>
  <si>
    <t>INV10456</t>
  </si>
  <si>
    <t>INV10457</t>
  </si>
  <si>
    <t>INV10458</t>
  </si>
  <si>
    <t>INV10459</t>
  </si>
  <si>
    <t>INV10460</t>
  </si>
  <si>
    <t>INV10461</t>
  </si>
  <si>
    <t>INV10462</t>
  </si>
  <si>
    <t>INV10463</t>
  </si>
  <si>
    <t>INV10464</t>
  </si>
  <si>
    <t>INV10465</t>
  </si>
  <si>
    <t>INV10466</t>
  </si>
  <si>
    <t>INV10467</t>
  </si>
  <si>
    <t>INV10468</t>
  </si>
  <si>
    <t>INV10469</t>
  </si>
  <si>
    <t>INV10470</t>
  </si>
  <si>
    <t>INV10471</t>
  </si>
  <si>
    <t>INV10472</t>
  </si>
  <si>
    <t>INV10473</t>
  </si>
  <si>
    <t>INV10474</t>
  </si>
  <si>
    <t>INV10475</t>
  </si>
  <si>
    <t>INV10476</t>
  </si>
  <si>
    <t>INV10477</t>
  </si>
  <si>
    <t>INV10478</t>
  </si>
  <si>
    <t>INV10479</t>
  </si>
  <si>
    <t>INV10480</t>
  </si>
  <si>
    <t>INV10481</t>
  </si>
  <si>
    <t>INV10482</t>
  </si>
  <si>
    <t>INV10483</t>
  </si>
  <si>
    <t>INV10484</t>
  </si>
  <si>
    <t>INV10485</t>
  </si>
  <si>
    <t>INV10486</t>
  </si>
  <si>
    <t>INV10487</t>
  </si>
  <si>
    <t>INV10488</t>
  </si>
  <si>
    <t>INV10489</t>
  </si>
  <si>
    <t>INV10490</t>
  </si>
  <si>
    <t>INV10491</t>
  </si>
  <si>
    <t>INV10492</t>
  </si>
  <si>
    <t>INV10493</t>
  </si>
  <si>
    <t>INV10494</t>
  </si>
  <si>
    <t>INV10495</t>
  </si>
  <si>
    <t>INV10496</t>
  </si>
  <si>
    <t>INV10497</t>
  </si>
  <si>
    <t>INV10498</t>
  </si>
  <si>
    <t>INV10499</t>
  </si>
  <si>
    <t>INV10500</t>
  </si>
  <si>
    <t>INV10501</t>
  </si>
  <si>
    <t>INV10502</t>
  </si>
  <si>
    <t>INV10503</t>
  </si>
  <si>
    <t>INV10504</t>
  </si>
  <si>
    <t>INV10505</t>
  </si>
  <si>
    <t>INV10506</t>
  </si>
  <si>
    <t>INV10507</t>
  </si>
  <si>
    <t>INV10508</t>
  </si>
  <si>
    <t>INV10509</t>
  </si>
  <si>
    <t>INV10510</t>
  </si>
  <si>
    <t>INV10511</t>
  </si>
  <si>
    <t>INV10512</t>
  </si>
  <si>
    <t>INV10513</t>
  </si>
  <si>
    <t>INV10514</t>
  </si>
  <si>
    <t>INV10515</t>
  </si>
  <si>
    <t>INV10516</t>
  </si>
  <si>
    <t>INV10517</t>
  </si>
  <si>
    <t>INV10518</t>
  </si>
  <si>
    <t>INV10519</t>
  </si>
  <si>
    <t>INV10520</t>
  </si>
  <si>
    <t>INV10521</t>
  </si>
  <si>
    <t>INV10522</t>
  </si>
  <si>
    <t>INV10523</t>
  </si>
  <si>
    <t>INV10524</t>
  </si>
  <si>
    <t>INV10525</t>
  </si>
  <si>
    <t>INV10526</t>
  </si>
  <si>
    <t>INV10527</t>
  </si>
  <si>
    <t>INV10528</t>
  </si>
  <si>
    <t>INV10529</t>
  </si>
  <si>
    <t>INV10530</t>
  </si>
  <si>
    <t>INV10531</t>
  </si>
  <si>
    <t>INV10532</t>
  </si>
  <si>
    <t>INV10533</t>
  </si>
  <si>
    <t>INV10534</t>
  </si>
  <si>
    <t>INV10535</t>
  </si>
  <si>
    <t>INV10536</t>
  </si>
  <si>
    <t>INV10537</t>
  </si>
  <si>
    <t>INV10538</t>
  </si>
  <si>
    <t>INV10539</t>
  </si>
  <si>
    <t>INV10540</t>
  </si>
  <si>
    <t>INV10541</t>
  </si>
  <si>
    <t>INV10542</t>
  </si>
  <si>
    <t>INV10543</t>
  </si>
  <si>
    <t>INV10544</t>
  </si>
  <si>
    <t>INV10545</t>
  </si>
  <si>
    <t>INV10546</t>
  </si>
  <si>
    <t>INV10547</t>
  </si>
  <si>
    <t>INV10548</t>
  </si>
  <si>
    <t>INV10549</t>
  </si>
  <si>
    <t>INV10550</t>
  </si>
  <si>
    <t>INV10551</t>
  </si>
  <si>
    <t>INV10552</t>
  </si>
  <si>
    <t>INV10553</t>
  </si>
  <si>
    <t>INV10554</t>
  </si>
  <si>
    <t>INV10555</t>
  </si>
  <si>
    <t>INV10556</t>
  </si>
  <si>
    <t>INV10557</t>
  </si>
  <si>
    <t>INV10558</t>
  </si>
  <si>
    <t>INV10559</t>
  </si>
  <si>
    <t>INV10560</t>
  </si>
  <si>
    <t>INV10561</t>
  </si>
  <si>
    <t xml:space="preserve"> Neha</t>
  </si>
  <si>
    <t>INV10562</t>
  </si>
  <si>
    <t>INV10563</t>
  </si>
  <si>
    <t>INV10564</t>
  </si>
  <si>
    <t>INV10565</t>
  </si>
  <si>
    <t>INV10566</t>
  </si>
  <si>
    <t>INV10567</t>
  </si>
  <si>
    <t>INV10568</t>
  </si>
  <si>
    <t>INV10569</t>
  </si>
  <si>
    <t>INV10570</t>
  </si>
  <si>
    <t>INV10571</t>
  </si>
  <si>
    <t>INV10572</t>
  </si>
  <si>
    <t>INV10573</t>
  </si>
  <si>
    <t>INV10574</t>
  </si>
  <si>
    <t>INV10575</t>
  </si>
  <si>
    <t>INV10576</t>
  </si>
  <si>
    <t>INV10577</t>
  </si>
  <si>
    <t>INV10578</t>
  </si>
  <si>
    <t>INV10579</t>
  </si>
  <si>
    <t>INV10580</t>
  </si>
  <si>
    <t>INV10581</t>
  </si>
  <si>
    <t>INV10582</t>
  </si>
  <si>
    <t>INV10583</t>
  </si>
  <si>
    <t>INV10584</t>
  </si>
  <si>
    <t>INV10585</t>
  </si>
  <si>
    <t>INV10586</t>
  </si>
  <si>
    <t>INV10587</t>
  </si>
  <si>
    <t>INV10588</t>
  </si>
  <si>
    <t>INV10589</t>
  </si>
  <si>
    <t>INV10590</t>
  </si>
  <si>
    <t>INV10591</t>
  </si>
  <si>
    <t>INV10592</t>
  </si>
  <si>
    <t>INV10593</t>
  </si>
  <si>
    <t>INV10594</t>
  </si>
  <si>
    <t>INV10595</t>
  </si>
  <si>
    <t>INV10596</t>
  </si>
  <si>
    <t>INV10597</t>
  </si>
  <si>
    <t>INV10598</t>
  </si>
  <si>
    <t>INV10599</t>
  </si>
  <si>
    <t>INV10600</t>
  </si>
  <si>
    <t>INV10601</t>
  </si>
  <si>
    <t>INV10602</t>
  </si>
  <si>
    <t>INV10603</t>
  </si>
  <si>
    <t>INV10604</t>
  </si>
  <si>
    <t>INV10605</t>
  </si>
  <si>
    <t>INV10606</t>
  </si>
  <si>
    <t>INV10607</t>
  </si>
  <si>
    <t>INV10608</t>
  </si>
  <si>
    <t>INV10609</t>
  </si>
  <si>
    <t>INV10610</t>
  </si>
  <si>
    <t>INV10611</t>
  </si>
  <si>
    <t>INV10612</t>
  </si>
  <si>
    <t>INV10613</t>
  </si>
  <si>
    <t>INV10614</t>
  </si>
  <si>
    <t>INV10615</t>
  </si>
  <si>
    <t>INV10616</t>
  </si>
  <si>
    <t>INV10617</t>
  </si>
  <si>
    <t>INV10618</t>
  </si>
  <si>
    <t>INV10619</t>
  </si>
  <si>
    <t>INV10620</t>
  </si>
  <si>
    <t>INV10621</t>
  </si>
  <si>
    <t>INV10622</t>
  </si>
  <si>
    <t>INV10623</t>
  </si>
  <si>
    <t>INV10624</t>
  </si>
  <si>
    <t>INV10625</t>
  </si>
  <si>
    <t>INV10626</t>
  </si>
  <si>
    <t>INV10627</t>
  </si>
  <si>
    <t>INV10628</t>
  </si>
  <si>
    <t>INV10629</t>
  </si>
  <si>
    <t>INV10630</t>
  </si>
  <si>
    <t>INV10631</t>
  </si>
  <si>
    <t>INV10632</t>
  </si>
  <si>
    <t>INV10633</t>
  </si>
  <si>
    <t>INV10634</t>
  </si>
  <si>
    <t>INV10635</t>
  </si>
  <si>
    <t>INV10636</t>
  </si>
  <si>
    <t>INV10637</t>
  </si>
  <si>
    <t>INV10638</t>
  </si>
  <si>
    <t>INV10639</t>
  </si>
  <si>
    <t>INV10640</t>
  </si>
  <si>
    <t>INV10641</t>
  </si>
  <si>
    <t>INV10642</t>
  </si>
  <si>
    <t>INV10643</t>
  </si>
  <si>
    <t>INV10644</t>
  </si>
  <si>
    <t>INV10645</t>
  </si>
  <si>
    <t>INV10646</t>
  </si>
  <si>
    <t>INV10647</t>
  </si>
  <si>
    <t>INV10648</t>
  </si>
  <si>
    <t>INV10649</t>
  </si>
  <si>
    <t>INV10650</t>
  </si>
  <si>
    <t xml:space="preserve">unknown </t>
  </si>
  <si>
    <t>Month Name</t>
  </si>
  <si>
    <t>March</t>
  </si>
  <si>
    <t>April</t>
  </si>
  <si>
    <t>July</t>
  </si>
  <si>
    <t>June</t>
  </si>
  <si>
    <t>January</t>
  </si>
  <si>
    <t>February</t>
  </si>
  <si>
    <t>August</t>
  </si>
  <si>
    <t>May</t>
  </si>
  <si>
    <t>Mp Garments</t>
  </si>
  <si>
    <t>Row Labels</t>
  </si>
  <si>
    <t>Grand Total</t>
  </si>
  <si>
    <t xml:space="preserve">monthly sales </t>
  </si>
  <si>
    <t xml:space="preserve">Max Revenue on bases of catogary </t>
  </si>
  <si>
    <t xml:space="preserve">top 10 products by sales </t>
  </si>
  <si>
    <t xml:space="preserve">Over all purformances pf sales team </t>
  </si>
  <si>
    <t>Gross Sales</t>
  </si>
  <si>
    <t>COst of Goods</t>
  </si>
  <si>
    <t xml:space="preserve">Gross Profit </t>
  </si>
  <si>
    <t xml:space="preserve">on bases of gross profit </t>
  </si>
  <si>
    <t>Sum of Gross Profit</t>
  </si>
  <si>
    <t xml:space="preserve">amit generated most gros profit among all </t>
  </si>
  <si>
    <t xml:space="preserve">highest sales on bases of city </t>
  </si>
  <si>
    <t>Sum of Gross Sales</t>
  </si>
  <si>
    <t xml:space="preserve">which payment is used most </t>
  </si>
  <si>
    <t>Count of Payment Method</t>
  </si>
  <si>
    <t xml:space="preserve">most used payment method </t>
  </si>
  <si>
    <t>Custom</t>
  </si>
  <si>
    <t xml:space="preserve">top 10 customers by revenue </t>
  </si>
  <si>
    <t>TOTAL</t>
  </si>
  <si>
    <t xml:space="preserve">ANSWERS I FOUND </t>
  </si>
  <si>
    <t>JUNE</t>
  </si>
  <si>
    <t xml:space="preserve">I HAVE FIRST CLEANED THE DATA USING POWER QUARY EDITOE REMOVED </t>
  </si>
  <si>
    <t xml:space="preserve">DUPLICATE VALUES CLEANED AND MAKE IT READY FOR ANALYSIS </t>
  </si>
  <si>
    <t xml:space="preserve">THIS IS MY FIRST PERSONAL PROJECT IN THIS EVERYTHING IS DONE BY ME WITHOUT </t>
  </si>
  <si>
    <t xml:space="preserve">ANY HELP WITH ANY YT OR CHAT GPT , ETC WELL I COULD TAKE THE HELP OF CHAT GPT </t>
  </si>
  <si>
    <t xml:space="preserve">BUT I PREFERED TO MAKE IT ON MY OWN </t>
  </si>
  <si>
    <t xml:space="preserve">THANKS YOU YOUR TIME - </t>
  </si>
  <si>
    <t xml:space="preserve">I KNOW THIS TAB IS MASSY PLEAS IGNOR THE ARANGEMENT WAS AS I LIKED NOT HOW YOU WANT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</si>
</sst>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₹&quot;\ #,##0.0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3"/>
        <bgColor indexed="64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0" borderId="3" xfId="0" applyBorder="1"/>
    <xf numFmtId="0" fontId="0" fillId="0" borderId="0" xfId="0" pivotButton="1"/>
    <xf numFmtId="0" fontId="2" fillId="0" borderId="0" xfId="0" applyFont="1"/>
    <xf numFmtId="164" fontId="0" fillId="0" borderId="0" xfId="0" applyNumberFormat="1"/>
    <xf numFmtId="0" fontId="3" fillId="0" borderId="0" xfId="0" applyFont="1"/>
    <xf numFmtId="0" fontId="5" fillId="0" borderId="0" xfId="0" applyFont="1"/>
    <xf numFmtId="10" fontId="0" fillId="0" borderId="0" xfId="0" applyNumberFormat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3" borderId="0" xfId="0" applyFill="1"/>
    <xf numFmtId="49" fontId="0" fillId="0" borderId="0" xfId="0" applyNumberFormat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7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₹&quot;\ #,##0.00"/>
    </dxf>
    <dxf>
      <numFmt numFmtId="164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0" formatCode="General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1" defaultTableStyle="TableStyleMedium2" defaultPivotStyle="PivotStyleLight16">
    <tableStyle name="Invisible" pivot="0" table="0" count="0" xr9:uid="{018C7D07-6CBC-41ED-9D7B-21CB0C0BC6F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6.xml"/><Relationship Id="rId18" Type="http://schemas.openxmlformats.org/officeDocument/2006/relationships/pivotCacheDefinition" Target="pivotCache/pivotCacheDefinition11.xml"/><Relationship Id="rId26" Type="http://schemas.openxmlformats.org/officeDocument/2006/relationships/sharedStrings" Target="sharedStrings.xml"/><Relationship Id="rId39" Type="http://schemas.openxmlformats.org/officeDocument/2006/relationships/customXml" Target="../customXml/item10.xml"/><Relationship Id="rId21" Type="http://schemas.openxmlformats.org/officeDocument/2006/relationships/pivotCacheDefinition" Target="pivotCache/pivotCacheDefinition14.xml"/><Relationship Id="rId34" Type="http://schemas.openxmlformats.org/officeDocument/2006/relationships/customXml" Target="../customXml/item5.xml"/><Relationship Id="rId42" Type="http://schemas.openxmlformats.org/officeDocument/2006/relationships/customXml" Target="../customXml/item13.xml"/><Relationship Id="rId47" Type="http://schemas.openxmlformats.org/officeDocument/2006/relationships/customXml" Target="../customXml/item18.xml"/><Relationship Id="rId50" Type="http://schemas.openxmlformats.org/officeDocument/2006/relationships/customXml" Target="../customXml/item21.xml"/><Relationship Id="rId55" Type="http://schemas.openxmlformats.org/officeDocument/2006/relationships/customXml" Target="../customXml/item26.xml"/><Relationship Id="rId63" Type="http://schemas.openxmlformats.org/officeDocument/2006/relationships/customXml" Target="../customXml/item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9.xml"/><Relationship Id="rId29" Type="http://schemas.openxmlformats.org/officeDocument/2006/relationships/calcChain" Target="calcChain.xml"/><Relationship Id="rId11" Type="http://schemas.openxmlformats.org/officeDocument/2006/relationships/pivotCacheDefinition" Target="pivotCache/pivotCacheDefinition4.xml"/><Relationship Id="rId24" Type="http://schemas.openxmlformats.org/officeDocument/2006/relationships/connections" Target="connections.xml"/><Relationship Id="rId32" Type="http://schemas.openxmlformats.org/officeDocument/2006/relationships/customXml" Target="../customXml/item3.xml"/><Relationship Id="rId37" Type="http://schemas.openxmlformats.org/officeDocument/2006/relationships/customXml" Target="../customXml/item8.xml"/><Relationship Id="rId40" Type="http://schemas.openxmlformats.org/officeDocument/2006/relationships/customXml" Target="../customXml/item11.xml"/><Relationship Id="rId45" Type="http://schemas.openxmlformats.org/officeDocument/2006/relationships/customXml" Target="../customXml/item16.xml"/><Relationship Id="rId53" Type="http://schemas.openxmlformats.org/officeDocument/2006/relationships/customXml" Target="../customXml/item24.xml"/><Relationship Id="rId58" Type="http://schemas.openxmlformats.org/officeDocument/2006/relationships/customXml" Target="../customXml/item29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32.xml"/><Relationship Id="rId19" Type="http://schemas.openxmlformats.org/officeDocument/2006/relationships/pivotCacheDefinition" Target="pivotCache/pivotCacheDefinition12.xml"/><Relationship Id="rId14" Type="http://schemas.openxmlformats.org/officeDocument/2006/relationships/pivotCacheDefinition" Target="pivotCache/pivotCacheDefinition7.xml"/><Relationship Id="rId22" Type="http://schemas.microsoft.com/office/2011/relationships/timelineCache" Target="timelineCaches/timelineCache1.xml"/><Relationship Id="rId27" Type="http://schemas.openxmlformats.org/officeDocument/2006/relationships/powerPivotData" Target="model/item.data"/><Relationship Id="rId30" Type="http://schemas.openxmlformats.org/officeDocument/2006/relationships/customXml" Target="../customXml/item1.xml"/><Relationship Id="rId35" Type="http://schemas.openxmlformats.org/officeDocument/2006/relationships/customXml" Target="../customXml/item6.xml"/><Relationship Id="rId43" Type="http://schemas.openxmlformats.org/officeDocument/2006/relationships/customXml" Target="../customXml/item14.xml"/><Relationship Id="rId48" Type="http://schemas.openxmlformats.org/officeDocument/2006/relationships/customXml" Target="../customXml/item19.xml"/><Relationship Id="rId56" Type="http://schemas.openxmlformats.org/officeDocument/2006/relationships/customXml" Target="../customXml/item27.xml"/><Relationship Id="rId64" Type="http://schemas.openxmlformats.org/officeDocument/2006/relationships/customXml" Target="../customXml/item35.xml"/><Relationship Id="rId8" Type="http://schemas.openxmlformats.org/officeDocument/2006/relationships/pivotCacheDefinition" Target="pivotCache/pivotCacheDefinition1.xml"/><Relationship Id="rId51" Type="http://schemas.openxmlformats.org/officeDocument/2006/relationships/customXml" Target="../customXml/item22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pivotCacheDefinition" Target="pivotCache/pivotCacheDefinition10.xml"/><Relationship Id="rId25" Type="http://schemas.openxmlformats.org/officeDocument/2006/relationships/styles" Target="styles.xml"/><Relationship Id="rId33" Type="http://schemas.openxmlformats.org/officeDocument/2006/relationships/customXml" Target="../customXml/item4.xml"/><Relationship Id="rId38" Type="http://schemas.openxmlformats.org/officeDocument/2006/relationships/customXml" Target="../customXml/item9.xml"/><Relationship Id="rId46" Type="http://schemas.openxmlformats.org/officeDocument/2006/relationships/customXml" Target="../customXml/item17.xml"/><Relationship Id="rId59" Type="http://schemas.openxmlformats.org/officeDocument/2006/relationships/customXml" Target="../customXml/item30.xml"/><Relationship Id="rId20" Type="http://schemas.openxmlformats.org/officeDocument/2006/relationships/pivotCacheDefinition" Target="pivotCache/pivotCacheDefinition13.xml"/><Relationship Id="rId41" Type="http://schemas.openxmlformats.org/officeDocument/2006/relationships/customXml" Target="../customXml/item12.xml"/><Relationship Id="rId54" Type="http://schemas.openxmlformats.org/officeDocument/2006/relationships/customXml" Target="../customXml/item25.xml"/><Relationship Id="rId62" Type="http://schemas.openxmlformats.org/officeDocument/2006/relationships/customXml" Target="../customXml/item3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8.xml"/><Relationship Id="rId23" Type="http://schemas.openxmlformats.org/officeDocument/2006/relationships/theme" Target="theme/theme1.xml"/><Relationship Id="rId28" Type="http://schemas.microsoft.com/office/2017/10/relationships/person" Target="persons/person.xml"/><Relationship Id="rId36" Type="http://schemas.openxmlformats.org/officeDocument/2006/relationships/customXml" Target="../customXml/item7.xml"/><Relationship Id="rId49" Type="http://schemas.openxmlformats.org/officeDocument/2006/relationships/customXml" Target="../customXml/item20.xml"/><Relationship Id="rId57" Type="http://schemas.openxmlformats.org/officeDocument/2006/relationships/customXml" Target="../customXml/item28.xml"/><Relationship Id="rId10" Type="http://schemas.openxmlformats.org/officeDocument/2006/relationships/pivotCacheDefinition" Target="pivotCache/pivotCacheDefinition3.xml"/><Relationship Id="rId31" Type="http://schemas.openxmlformats.org/officeDocument/2006/relationships/customXml" Target="../customXml/item2.xml"/><Relationship Id="rId44" Type="http://schemas.openxmlformats.org/officeDocument/2006/relationships/customXml" Target="../customXml/item15.xml"/><Relationship Id="rId52" Type="http://schemas.openxmlformats.org/officeDocument/2006/relationships/customXml" Target="../customXml/item23.xml"/><Relationship Id="rId60" Type="http://schemas.openxmlformats.org/officeDocument/2006/relationships/customXml" Target="../customXml/item3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[SHREE RAM CLOTHING NAGPUR ^LJ PERSJECT .xlsx]PIVIT TABLES !PivotTable1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MONTH</a:t>
            </a:r>
            <a:r>
              <a:rPr lang="en-IN" baseline="0"/>
              <a:t> WISE REVENUE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103707839656431"/>
          <c:y val="0.14249781277340332"/>
          <c:w val="0.83431071653719224"/>
          <c:h val="0.561362642169728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'PIVIT TABLES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'PIVIT TABLES '!$A$4:$A$12</c:f>
              <c:strCache>
                <c:ptCount val="8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</c:strCache>
            </c:strRef>
          </c:cat>
          <c:val>
            <c:numRef>
              <c:f>'PIVIT TABLES '!$B$4:$B$12</c:f>
              <c:numCache>
                <c:formatCode>"₹"\ #,##0.00</c:formatCode>
                <c:ptCount val="8"/>
                <c:pt idx="0">
                  <c:v>128560</c:v>
                </c:pt>
                <c:pt idx="1">
                  <c:v>138520</c:v>
                </c:pt>
                <c:pt idx="2">
                  <c:v>125417.5</c:v>
                </c:pt>
                <c:pt idx="3">
                  <c:v>119960</c:v>
                </c:pt>
                <c:pt idx="4">
                  <c:v>124440</c:v>
                </c:pt>
                <c:pt idx="5">
                  <c:v>142047.5</c:v>
                </c:pt>
                <c:pt idx="6">
                  <c:v>134670</c:v>
                </c:pt>
                <c:pt idx="7">
                  <c:v>133570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DD-4761-811B-E8DC48438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6164479"/>
        <c:axId val="187066608"/>
      </c:barChart>
      <c:catAx>
        <c:axId val="45616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66608"/>
        <c:crosses val="autoZero"/>
        <c:auto val="1"/>
        <c:lblAlgn val="ctr"/>
        <c:lblOffset val="100"/>
        <c:noMultiLvlLbl val="0"/>
      </c:catAx>
      <c:valAx>
        <c:axId val="18706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1644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[SHREE RAM CLOTHING NAGPUR ^LJ PERSJECT .xlsx]PIVIT TABLES !PivotTable2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BY REVENUE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439685114139623"/>
          <c:y val="0.132436392306995"/>
          <c:w val="0.80460352292029069"/>
          <c:h val="0.711668682480520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'PIVIT TABLES '!$B$20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'PIVIT TABLES '!$A$21:$A$28</c:f>
              <c:strCache>
                <c:ptCount val="7"/>
                <c:pt idx="0">
                  <c:v>Ethnic Wear</c:v>
                </c:pt>
                <c:pt idx="1">
                  <c:v>Jeans</c:v>
                </c:pt>
                <c:pt idx="2">
                  <c:v>Kids Wear</c:v>
                </c:pt>
                <c:pt idx="3">
                  <c:v>Shirts</c:v>
                </c:pt>
                <c:pt idx="4">
                  <c:v>Trousers</c:v>
                </c:pt>
                <c:pt idx="5">
                  <c:v>T-Shirts</c:v>
                </c:pt>
                <c:pt idx="6">
                  <c:v>Winter Wear</c:v>
                </c:pt>
              </c:strCache>
            </c:strRef>
          </c:cat>
          <c:val>
            <c:numRef>
              <c:f>'PIVIT TABLES '!$B$21:$B$28</c:f>
              <c:numCache>
                <c:formatCode>"₹"\ #,##0.00</c:formatCode>
                <c:ptCount val="7"/>
                <c:pt idx="0">
                  <c:v>182220</c:v>
                </c:pt>
                <c:pt idx="1">
                  <c:v>184585</c:v>
                </c:pt>
                <c:pt idx="2">
                  <c:v>89180</c:v>
                </c:pt>
                <c:pt idx="3">
                  <c:v>204805</c:v>
                </c:pt>
                <c:pt idx="4">
                  <c:v>118925</c:v>
                </c:pt>
                <c:pt idx="5">
                  <c:v>87095</c:v>
                </c:pt>
                <c:pt idx="6">
                  <c:v>180375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85A-4151-A1A6-EB92876D6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56252639"/>
        <c:axId val="187073808"/>
      </c:barChart>
      <c:catAx>
        <c:axId val="45625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73808"/>
        <c:crosses val="autoZero"/>
        <c:auto val="1"/>
        <c:lblAlgn val="ctr"/>
        <c:lblOffset val="100"/>
        <c:noMultiLvlLbl val="0"/>
      </c:catAx>
      <c:valAx>
        <c:axId val="18707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2526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[SHREE RAM CLOTHING NAGPUR ^LJ PERSJECT .xlsx]PIVIT TABLES !PivotTable5</c:name>
    <c:fmtId val="4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SALESMAN PERFORMANCE BAS. OF 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'PIVIT TABLES '!$H$54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'PIVIT TABLES '!$G$55:$G$61</c:f>
              <c:strCache>
                <c:ptCount val="6"/>
                <c:pt idx="0">
                  <c:v> Neha</c:v>
                </c:pt>
                <c:pt idx="1">
                  <c:v>Amit</c:v>
                </c:pt>
                <c:pt idx="2">
                  <c:v>Neha</c:v>
                </c:pt>
                <c:pt idx="3">
                  <c:v>Priya</c:v>
                </c:pt>
                <c:pt idx="4">
                  <c:v>Rohit</c:v>
                </c:pt>
                <c:pt idx="5">
                  <c:v>Sandeep</c:v>
                </c:pt>
              </c:strCache>
            </c:strRef>
          </c:cat>
          <c:val>
            <c:numRef>
              <c:f>'PIVIT TABLES '!$H$55:$H$61</c:f>
              <c:numCache>
                <c:formatCode>"₹"\ #,##0.00</c:formatCode>
                <c:ptCount val="6"/>
                <c:pt idx="0">
                  <c:v>2200</c:v>
                </c:pt>
                <c:pt idx="1">
                  <c:v>218400</c:v>
                </c:pt>
                <c:pt idx="2">
                  <c:v>207567.5</c:v>
                </c:pt>
                <c:pt idx="3">
                  <c:v>214225</c:v>
                </c:pt>
                <c:pt idx="4">
                  <c:v>195945</c:v>
                </c:pt>
                <c:pt idx="5">
                  <c:v>208847.5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A3C-4F77-8310-07A4A4C9F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02433264"/>
        <c:axId val="506324432"/>
      </c:barChart>
      <c:catAx>
        <c:axId val="50243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324432"/>
        <c:crosses val="autoZero"/>
        <c:auto val="1"/>
        <c:lblAlgn val="ctr"/>
        <c:lblOffset val="100"/>
        <c:noMultiLvlLbl val="0"/>
      </c:catAx>
      <c:valAx>
        <c:axId val="50632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43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[SHREE RAM CLOTHING NAGPUR ^LJ PERSJECT .xlsx]PIVIT TABLES !PivotTable6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SALESMAN</a:t>
            </a:r>
            <a:r>
              <a:rPr lang="en-US" baseline="0"/>
              <a:t> PERFORMANCE ON BAS. OF GP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'PIVIT TABLES '!$C$73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'PIVIT TABLES '!$B$74:$B$80</c:f>
              <c:strCache>
                <c:ptCount val="6"/>
                <c:pt idx="0">
                  <c:v> Neha</c:v>
                </c:pt>
                <c:pt idx="1">
                  <c:v>Amit</c:v>
                </c:pt>
                <c:pt idx="2">
                  <c:v>Neha</c:v>
                </c:pt>
                <c:pt idx="3">
                  <c:v>Priya</c:v>
                </c:pt>
                <c:pt idx="4">
                  <c:v>Rohit</c:v>
                </c:pt>
                <c:pt idx="5">
                  <c:v>Sandeep</c:v>
                </c:pt>
              </c:strCache>
            </c:strRef>
          </c:cat>
          <c:val>
            <c:numRef>
              <c:f>'PIVIT TABLES '!$C$74:$C$80</c:f>
              <c:numCache>
                <c:formatCode>"₹"\ #,##0.00</c:formatCode>
                <c:ptCount val="6"/>
                <c:pt idx="0">
                  <c:v>840</c:v>
                </c:pt>
                <c:pt idx="1">
                  <c:v>83570</c:v>
                </c:pt>
                <c:pt idx="2">
                  <c:v>79847.5</c:v>
                </c:pt>
                <c:pt idx="3">
                  <c:v>81935</c:v>
                </c:pt>
                <c:pt idx="4">
                  <c:v>75035</c:v>
                </c:pt>
                <c:pt idx="5">
                  <c:v>79517.5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D04-4B04-AAD2-0B9A6BC20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02457392"/>
        <c:axId val="506224592"/>
      </c:barChart>
      <c:catAx>
        <c:axId val="50245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224592"/>
        <c:crosses val="autoZero"/>
        <c:auto val="1"/>
        <c:lblAlgn val="ctr"/>
        <c:lblOffset val="100"/>
        <c:noMultiLvlLbl val="0"/>
      </c:catAx>
      <c:valAx>
        <c:axId val="50622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457392"/>
        <c:crosses val="autoZero"/>
        <c:crossBetween val="between"/>
        <c:minorUnit val="4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[SHREE RAM CLOTHING NAGPUR ^LJ PERSJECT .xlsx]PIVIT TABLES !PivotTable8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CITY</a:t>
            </a:r>
            <a:r>
              <a:rPr lang="en-US" baseline="0"/>
              <a:t> WISE SALES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'PIVIT TABLES '!$C$87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'PIVIT TABLES '!$B$88:$B$91</c:f>
              <c:strCache>
                <c:ptCount val="3"/>
                <c:pt idx="0">
                  <c:v>Bhopal</c:v>
                </c:pt>
                <c:pt idx="1">
                  <c:v>Indore</c:v>
                </c:pt>
                <c:pt idx="2">
                  <c:v>Jabalpur</c:v>
                </c:pt>
              </c:strCache>
            </c:strRef>
          </c:cat>
          <c:val>
            <c:numRef>
              <c:f>'PIVIT TABLES '!$C$88:$C$91</c:f>
              <c:numCache>
                <c:formatCode>"₹"\ #,##0.00</c:formatCode>
                <c:ptCount val="3"/>
                <c:pt idx="0">
                  <c:v>329662.5</c:v>
                </c:pt>
                <c:pt idx="1">
                  <c:v>365037.5</c:v>
                </c:pt>
                <c:pt idx="2">
                  <c:v>352485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AD3-412C-ABD1-D21F384F5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02298704"/>
        <c:axId val="187103088"/>
        <c:axId val="0"/>
      </c:bar3DChart>
      <c:catAx>
        <c:axId val="50229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03088"/>
        <c:crosses val="autoZero"/>
        <c:auto val="1"/>
        <c:lblAlgn val="ctr"/>
        <c:lblOffset val="100"/>
        <c:noMultiLvlLbl val="0"/>
      </c:catAx>
      <c:valAx>
        <c:axId val="18710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29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[SHREE RAM CLOTHING NAGPUR ^LJ PERSJECT .xlsx]PIVIT TABLES !PivotTable10</c:name>
    <c:fmtId val="4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PREFERD PAYMENT METHOD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'PIVIT TABLES '!$C$99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'PIVIT TABLES '!$B$100:$B$104</c:f>
              <c:strCache>
                <c:ptCount val="4"/>
                <c:pt idx="0">
                  <c:v>Card</c:v>
                </c:pt>
                <c:pt idx="1">
                  <c:v>Cash</c:v>
                </c:pt>
                <c:pt idx="2">
                  <c:v>Credit</c:v>
                </c:pt>
                <c:pt idx="3">
                  <c:v>UPI</c:v>
                </c:pt>
              </c:strCache>
            </c:strRef>
          </c:cat>
          <c:val>
            <c:numRef>
              <c:f>'PIVIT TABLES '!$C$100:$C$104</c:f>
              <c:numCache>
                <c:formatCode>General</c:formatCode>
                <c:ptCount val="4"/>
                <c:pt idx="0">
                  <c:v>173</c:v>
                </c:pt>
                <c:pt idx="1">
                  <c:v>154</c:v>
                </c:pt>
                <c:pt idx="2">
                  <c:v>35</c:v>
                </c:pt>
                <c:pt idx="3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AC-4809-8EBF-4DDB8DC67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78920847"/>
        <c:axId val="187098768"/>
      </c:barChart>
      <c:catAx>
        <c:axId val="57892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98768"/>
        <c:crosses val="autoZero"/>
        <c:auto val="1"/>
        <c:lblAlgn val="ctr"/>
        <c:lblOffset val="100"/>
        <c:noMultiLvlLbl val="0"/>
      </c:catAx>
      <c:valAx>
        <c:axId val="18709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920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[SHREE RAM CLOTHING NAGPUR ^LJ PERSJECT .xlsx]PIVIT TABLES !PivotTable12</c:name>
    <c:fmtId val="5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CATOGARY</a:t>
            </a:r>
            <a:r>
              <a:rPr lang="en-US" baseline="0"/>
              <a:t> BY SALES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'PIVIT TABLES '!$C$107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'PIVIT TABLES '!$B$108:$B$123</c:f>
              <c:strCache>
                <c:ptCount val="15"/>
                <c:pt idx="0">
                  <c:v>Basic T-Shirt</c:v>
                </c:pt>
                <c:pt idx="1">
                  <c:v>Casual Shirt</c:v>
                </c:pt>
                <c:pt idx="2">
                  <c:v>Cotton Trousers</c:v>
                </c:pt>
                <c:pt idx="3">
                  <c:v>Formal Shirt</c:v>
                </c:pt>
                <c:pt idx="4">
                  <c:v>Formal Trousers</c:v>
                </c:pt>
                <c:pt idx="5">
                  <c:v>Hoodie</c:v>
                </c:pt>
                <c:pt idx="6">
                  <c:v>Kids Jeans</c:v>
                </c:pt>
                <c:pt idx="7">
                  <c:v>Kids Shirt</c:v>
                </c:pt>
                <c:pt idx="8">
                  <c:v>Kurta</c:v>
                </c:pt>
                <c:pt idx="9">
                  <c:v>Kurta Set</c:v>
                </c:pt>
                <c:pt idx="10">
                  <c:v>Polo T-Shirt</c:v>
                </c:pt>
                <c:pt idx="11">
                  <c:v>Premium Shirt</c:v>
                </c:pt>
                <c:pt idx="12">
                  <c:v>Regular Jeans</c:v>
                </c:pt>
                <c:pt idx="13">
                  <c:v>Slim Jeans</c:v>
                </c:pt>
                <c:pt idx="14">
                  <c:v>Sweatshirt</c:v>
                </c:pt>
              </c:strCache>
            </c:strRef>
          </c:cat>
          <c:val>
            <c:numRef>
              <c:f>'PIVIT TABLES '!$C$108:$C$123</c:f>
              <c:numCache>
                <c:formatCode>General</c:formatCode>
                <c:ptCount val="15"/>
                <c:pt idx="0">
                  <c:v>34250</c:v>
                </c:pt>
                <c:pt idx="1">
                  <c:v>50885</c:v>
                </c:pt>
                <c:pt idx="2">
                  <c:v>60320</c:v>
                </c:pt>
                <c:pt idx="3">
                  <c:v>55095</c:v>
                </c:pt>
                <c:pt idx="4">
                  <c:v>58605</c:v>
                </c:pt>
                <c:pt idx="5">
                  <c:v>78660</c:v>
                </c:pt>
                <c:pt idx="6">
                  <c:v>52540</c:v>
                </c:pt>
                <c:pt idx="7">
                  <c:v>36640</c:v>
                </c:pt>
                <c:pt idx="8">
                  <c:v>57845</c:v>
                </c:pt>
                <c:pt idx="9">
                  <c:v>124375</c:v>
                </c:pt>
                <c:pt idx="10">
                  <c:v>52845</c:v>
                </c:pt>
                <c:pt idx="11">
                  <c:v>98825</c:v>
                </c:pt>
                <c:pt idx="12">
                  <c:v>71385</c:v>
                </c:pt>
                <c:pt idx="13">
                  <c:v>113200</c:v>
                </c:pt>
                <c:pt idx="14">
                  <c:v>101715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032-4DC2-9D5A-1A7024251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2111344"/>
        <c:axId val="187075248"/>
      </c:barChart>
      <c:catAx>
        <c:axId val="71211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75248"/>
        <c:crosses val="autoZero"/>
        <c:auto val="1"/>
        <c:lblAlgn val="ctr"/>
        <c:lblOffset val="100"/>
        <c:noMultiLvlLbl val="0"/>
      </c:catAx>
      <c:valAx>
        <c:axId val="18707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11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[SHREE RAM CLOTHING NAGPUR ^LJ PERSJECT .xlsx]PIVIT TABLES !PivotTable10</c:name>
    <c:fmtId val="4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PAYMENT  MATHORD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'PIVIT TABLES '!$C$99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6FA-4CC7-B921-48E93E615FA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6FA-4CC7-B921-48E93E615FA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6FA-4CC7-B921-48E93E615FA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6FA-4CC7-B921-48E93E615F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'PIVIT TABLES '!$B$100:$B$104</c:f>
              <c:strCache>
                <c:ptCount val="4"/>
                <c:pt idx="0">
                  <c:v>Card</c:v>
                </c:pt>
                <c:pt idx="1">
                  <c:v>Cash</c:v>
                </c:pt>
                <c:pt idx="2">
                  <c:v>Credit</c:v>
                </c:pt>
                <c:pt idx="3">
                  <c:v>UPI</c:v>
                </c:pt>
              </c:strCache>
            </c:strRef>
          </c:cat>
          <c:val>
            <c:numRef>
              <c:f>'PIVIT TABLES '!$C$100:$C$104</c:f>
              <c:numCache>
                <c:formatCode>General</c:formatCode>
                <c:ptCount val="4"/>
                <c:pt idx="0">
                  <c:v>173</c:v>
                </c:pt>
                <c:pt idx="1">
                  <c:v>154</c:v>
                </c:pt>
                <c:pt idx="2">
                  <c:v>35</c:v>
                </c:pt>
                <c:pt idx="3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6FA-4CC7-B921-48E93E615FA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350588549312687"/>
          <c:y val="0"/>
          <c:w val="0.2923420940687092"/>
          <c:h val="0.949601382788016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[SHREE RAM CLOTHING NAGPUR ^LJ PERSJECT .xlsx]PIVIT TABLES !PivotTable1</c:name>
    <c:fmtId val="7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578937007874014"/>
          <c:y val="0.14249781277340332"/>
          <c:w val="0.83143285214348206"/>
          <c:h val="0.561362642169728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'PIVIT TABLES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'PIVIT TABLES '!$A$4:$A$12</c:f>
              <c:strCache>
                <c:ptCount val="8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</c:strCache>
            </c:strRef>
          </c:cat>
          <c:val>
            <c:numRef>
              <c:f>'PIVIT TABLES '!$B$4:$B$12</c:f>
              <c:numCache>
                <c:formatCode>"₹"\ #,##0.00</c:formatCode>
                <c:ptCount val="8"/>
                <c:pt idx="0">
                  <c:v>128560</c:v>
                </c:pt>
                <c:pt idx="1">
                  <c:v>138520</c:v>
                </c:pt>
                <c:pt idx="2">
                  <c:v>125417.5</c:v>
                </c:pt>
                <c:pt idx="3">
                  <c:v>119960</c:v>
                </c:pt>
                <c:pt idx="4">
                  <c:v>124440</c:v>
                </c:pt>
                <c:pt idx="5">
                  <c:v>142047.5</c:v>
                </c:pt>
                <c:pt idx="6">
                  <c:v>134670</c:v>
                </c:pt>
                <c:pt idx="7">
                  <c:v>133570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F2-431E-A91A-283EC773C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6164479"/>
        <c:axId val="187066608"/>
      </c:barChart>
      <c:catAx>
        <c:axId val="45616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66608"/>
        <c:crosses val="autoZero"/>
        <c:auto val="1"/>
        <c:lblAlgn val="ctr"/>
        <c:lblOffset val="100"/>
        <c:noMultiLvlLbl val="0"/>
      </c:catAx>
      <c:valAx>
        <c:axId val="18706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1644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[SHREE RAM CLOTHING NAGPUR ^LJ PERSJECT .xlsx]PIVIT TABLES !PivotTable2</c:name>
    <c:fmtId val="28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831687022728717"/>
          <c:y val="5.7471264367816091E-2"/>
          <c:w val="0.80460352292029069"/>
          <c:h val="0.711668682480520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'PIVIT TABLES '!$B$20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'PIVIT TABLES '!$A$21:$A$28</c:f>
              <c:strCache>
                <c:ptCount val="7"/>
                <c:pt idx="0">
                  <c:v>Ethnic Wear</c:v>
                </c:pt>
                <c:pt idx="1">
                  <c:v>Jeans</c:v>
                </c:pt>
                <c:pt idx="2">
                  <c:v>Kids Wear</c:v>
                </c:pt>
                <c:pt idx="3">
                  <c:v>Shirts</c:v>
                </c:pt>
                <c:pt idx="4">
                  <c:v>Trousers</c:v>
                </c:pt>
                <c:pt idx="5">
                  <c:v>T-Shirts</c:v>
                </c:pt>
                <c:pt idx="6">
                  <c:v>Winter Wear</c:v>
                </c:pt>
              </c:strCache>
            </c:strRef>
          </c:cat>
          <c:val>
            <c:numRef>
              <c:f>'PIVIT TABLES '!$B$21:$B$28</c:f>
              <c:numCache>
                <c:formatCode>"₹"\ #,##0.00</c:formatCode>
                <c:ptCount val="7"/>
                <c:pt idx="0">
                  <c:v>182220</c:v>
                </c:pt>
                <c:pt idx="1">
                  <c:v>184585</c:v>
                </c:pt>
                <c:pt idx="2">
                  <c:v>89180</c:v>
                </c:pt>
                <c:pt idx="3">
                  <c:v>204805</c:v>
                </c:pt>
                <c:pt idx="4">
                  <c:v>118925</c:v>
                </c:pt>
                <c:pt idx="5">
                  <c:v>87095</c:v>
                </c:pt>
                <c:pt idx="6">
                  <c:v>180375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355-437E-BCC2-D3E91648C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56252639"/>
        <c:axId val="187073808"/>
      </c:barChart>
      <c:catAx>
        <c:axId val="45625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73808"/>
        <c:crosses val="autoZero"/>
        <c:auto val="1"/>
        <c:lblAlgn val="ctr"/>
        <c:lblOffset val="100"/>
        <c:noMultiLvlLbl val="0"/>
      </c:catAx>
      <c:valAx>
        <c:axId val="18707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2526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[SHREE RAM CLOTHING NAGPUR ^LJ PERSJECT .xlsx]PIVIT TABLES !PivotTable5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SALESMAN PERFORMANCE BAS. OF 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'PIVIT TABLES '!$H$54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'PIVIT TABLES '!$G$55:$G$61</c:f>
              <c:strCache>
                <c:ptCount val="6"/>
                <c:pt idx="0">
                  <c:v> Neha</c:v>
                </c:pt>
                <c:pt idx="1">
                  <c:v>Amit</c:v>
                </c:pt>
                <c:pt idx="2">
                  <c:v>Neha</c:v>
                </c:pt>
                <c:pt idx="3">
                  <c:v>Priya</c:v>
                </c:pt>
                <c:pt idx="4">
                  <c:v>Rohit</c:v>
                </c:pt>
                <c:pt idx="5">
                  <c:v>Sandeep</c:v>
                </c:pt>
              </c:strCache>
            </c:strRef>
          </c:cat>
          <c:val>
            <c:numRef>
              <c:f>'PIVIT TABLES '!$H$55:$H$61</c:f>
              <c:numCache>
                <c:formatCode>"₹"\ #,##0.00</c:formatCode>
                <c:ptCount val="6"/>
                <c:pt idx="0">
                  <c:v>2200</c:v>
                </c:pt>
                <c:pt idx="1">
                  <c:v>218400</c:v>
                </c:pt>
                <c:pt idx="2">
                  <c:v>207567.5</c:v>
                </c:pt>
                <c:pt idx="3">
                  <c:v>214225</c:v>
                </c:pt>
                <c:pt idx="4">
                  <c:v>195945</c:v>
                </c:pt>
                <c:pt idx="5">
                  <c:v>208847.5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04-45EE-8998-2CF14C36E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02433264"/>
        <c:axId val="506324432"/>
      </c:barChart>
      <c:catAx>
        <c:axId val="50243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324432"/>
        <c:crosses val="autoZero"/>
        <c:auto val="1"/>
        <c:lblAlgn val="ctr"/>
        <c:lblOffset val="100"/>
        <c:noMultiLvlLbl val="0"/>
      </c:catAx>
      <c:valAx>
        <c:axId val="50632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43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[SHREE RAM CLOTHING NAGPUR ^LJ PERSJECT .xlsx]PIVIT TABLES !PivotTable6</c:name>
    <c:fmtId val="3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SALESMAN</a:t>
            </a:r>
            <a:r>
              <a:rPr lang="en-US" baseline="0"/>
              <a:t> PERFORMANCE ON BAS. OF GP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'PIVIT TABLES '!$C$73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'PIVIT TABLES '!$B$74:$B$80</c:f>
              <c:strCache>
                <c:ptCount val="6"/>
                <c:pt idx="0">
                  <c:v> Neha</c:v>
                </c:pt>
                <c:pt idx="1">
                  <c:v>Amit</c:v>
                </c:pt>
                <c:pt idx="2">
                  <c:v>Neha</c:v>
                </c:pt>
                <c:pt idx="3">
                  <c:v>Priya</c:v>
                </c:pt>
                <c:pt idx="4">
                  <c:v>Rohit</c:v>
                </c:pt>
                <c:pt idx="5">
                  <c:v>Sandeep</c:v>
                </c:pt>
              </c:strCache>
            </c:strRef>
          </c:cat>
          <c:val>
            <c:numRef>
              <c:f>'PIVIT TABLES '!$C$74:$C$80</c:f>
              <c:numCache>
                <c:formatCode>"₹"\ #,##0.00</c:formatCode>
                <c:ptCount val="6"/>
                <c:pt idx="0">
                  <c:v>840</c:v>
                </c:pt>
                <c:pt idx="1">
                  <c:v>83570</c:v>
                </c:pt>
                <c:pt idx="2">
                  <c:v>79847.5</c:v>
                </c:pt>
                <c:pt idx="3">
                  <c:v>81935</c:v>
                </c:pt>
                <c:pt idx="4">
                  <c:v>75035</c:v>
                </c:pt>
                <c:pt idx="5">
                  <c:v>79517.5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032-4BD1-AD0E-B9977B17A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02457392"/>
        <c:axId val="506224592"/>
      </c:barChart>
      <c:catAx>
        <c:axId val="50245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224592"/>
        <c:crosses val="autoZero"/>
        <c:auto val="1"/>
        <c:lblAlgn val="ctr"/>
        <c:lblOffset val="100"/>
        <c:noMultiLvlLbl val="0"/>
      </c:catAx>
      <c:valAx>
        <c:axId val="50622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457392"/>
        <c:crosses val="autoZero"/>
        <c:crossBetween val="between"/>
        <c:minorUnit val="4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[SHREE RAM CLOTHING NAGPUR ^LJ PERSJECT .xlsx]PIVIT TABLES !PivotTable8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CITY</a:t>
            </a:r>
            <a:r>
              <a:rPr lang="en-US" baseline="0"/>
              <a:t> WISE SALES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'PIVIT TABLES '!$C$87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'PIVIT TABLES '!$B$88:$B$91</c:f>
              <c:strCache>
                <c:ptCount val="3"/>
                <c:pt idx="0">
                  <c:v>Bhopal</c:v>
                </c:pt>
                <c:pt idx="1">
                  <c:v>Indore</c:v>
                </c:pt>
                <c:pt idx="2">
                  <c:v>Jabalpur</c:v>
                </c:pt>
              </c:strCache>
            </c:strRef>
          </c:cat>
          <c:val>
            <c:numRef>
              <c:f>'PIVIT TABLES '!$C$88:$C$91</c:f>
              <c:numCache>
                <c:formatCode>"₹"\ #,##0.00</c:formatCode>
                <c:ptCount val="3"/>
                <c:pt idx="0">
                  <c:v>329662.5</c:v>
                </c:pt>
                <c:pt idx="1">
                  <c:v>365037.5</c:v>
                </c:pt>
                <c:pt idx="2">
                  <c:v>352485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55-4BD4-A69F-C1D149DAE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02298704"/>
        <c:axId val="187103088"/>
        <c:axId val="0"/>
      </c:bar3DChart>
      <c:catAx>
        <c:axId val="50229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03088"/>
        <c:crosses val="autoZero"/>
        <c:auto val="1"/>
        <c:lblAlgn val="ctr"/>
        <c:lblOffset val="100"/>
        <c:noMultiLvlLbl val="0"/>
      </c:catAx>
      <c:valAx>
        <c:axId val="18710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29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[SHREE RAM CLOTHING NAGPUR ^LJ PERSJECT .xlsx]PIVIT TABLES !PivotTable10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PREFERD PAYMENT METHOD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'PIVIT TABLES '!$C$99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'PIVIT TABLES '!$B$100:$B$104</c:f>
              <c:strCache>
                <c:ptCount val="4"/>
                <c:pt idx="0">
                  <c:v>Card</c:v>
                </c:pt>
                <c:pt idx="1">
                  <c:v>Cash</c:v>
                </c:pt>
                <c:pt idx="2">
                  <c:v>Credit</c:v>
                </c:pt>
                <c:pt idx="3">
                  <c:v>UPI</c:v>
                </c:pt>
              </c:strCache>
            </c:strRef>
          </c:cat>
          <c:val>
            <c:numRef>
              <c:f>'PIVIT TABLES '!$C$100:$C$104</c:f>
              <c:numCache>
                <c:formatCode>General</c:formatCode>
                <c:ptCount val="4"/>
                <c:pt idx="0">
                  <c:v>173</c:v>
                </c:pt>
                <c:pt idx="1">
                  <c:v>154</c:v>
                </c:pt>
                <c:pt idx="2">
                  <c:v>35</c:v>
                </c:pt>
                <c:pt idx="3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9C5-4935-A50D-D2DF54589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78920847"/>
        <c:axId val="187098768"/>
      </c:barChart>
      <c:catAx>
        <c:axId val="57892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98768"/>
        <c:crosses val="autoZero"/>
        <c:auto val="1"/>
        <c:lblAlgn val="ctr"/>
        <c:lblOffset val="100"/>
        <c:noMultiLvlLbl val="0"/>
      </c:catAx>
      <c:valAx>
        <c:axId val="18709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920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[SHREE RAM CLOTHING NAGPUR ^LJ PERSJECT .xlsx]PIVIT TABLES !PivotTable12</c:name>
    <c:fmtId val="5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CATOGARY</a:t>
            </a:r>
            <a:r>
              <a:rPr lang="en-US" baseline="0"/>
              <a:t> BY SALES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'PIVIT TABLES '!$C$107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'PIVIT TABLES '!$B$108:$B$123</c:f>
              <c:strCache>
                <c:ptCount val="15"/>
                <c:pt idx="0">
                  <c:v>Basic T-Shirt</c:v>
                </c:pt>
                <c:pt idx="1">
                  <c:v>Casual Shirt</c:v>
                </c:pt>
                <c:pt idx="2">
                  <c:v>Cotton Trousers</c:v>
                </c:pt>
                <c:pt idx="3">
                  <c:v>Formal Shirt</c:v>
                </c:pt>
                <c:pt idx="4">
                  <c:v>Formal Trousers</c:v>
                </c:pt>
                <c:pt idx="5">
                  <c:v>Hoodie</c:v>
                </c:pt>
                <c:pt idx="6">
                  <c:v>Kids Jeans</c:v>
                </c:pt>
                <c:pt idx="7">
                  <c:v>Kids Shirt</c:v>
                </c:pt>
                <c:pt idx="8">
                  <c:v>Kurta</c:v>
                </c:pt>
                <c:pt idx="9">
                  <c:v>Kurta Set</c:v>
                </c:pt>
                <c:pt idx="10">
                  <c:v>Polo T-Shirt</c:v>
                </c:pt>
                <c:pt idx="11">
                  <c:v>Premium Shirt</c:v>
                </c:pt>
                <c:pt idx="12">
                  <c:v>Regular Jeans</c:v>
                </c:pt>
                <c:pt idx="13">
                  <c:v>Slim Jeans</c:v>
                </c:pt>
                <c:pt idx="14">
                  <c:v>Sweatshirt</c:v>
                </c:pt>
              </c:strCache>
            </c:strRef>
          </c:cat>
          <c:val>
            <c:numRef>
              <c:f>'PIVIT TABLES '!$C$108:$C$123</c:f>
              <c:numCache>
                <c:formatCode>General</c:formatCode>
                <c:ptCount val="15"/>
                <c:pt idx="0">
                  <c:v>34250</c:v>
                </c:pt>
                <c:pt idx="1">
                  <c:v>50885</c:v>
                </c:pt>
                <c:pt idx="2">
                  <c:v>60320</c:v>
                </c:pt>
                <c:pt idx="3">
                  <c:v>55095</c:v>
                </c:pt>
                <c:pt idx="4">
                  <c:v>58605</c:v>
                </c:pt>
                <c:pt idx="5">
                  <c:v>78660</c:v>
                </c:pt>
                <c:pt idx="6">
                  <c:v>52540</c:v>
                </c:pt>
                <c:pt idx="7">
                  <c:v>36640</c:v>
                </c:pt>
                <c:pt idx="8">
                  <c:v>57845</c:v>
                </c:pt>
                <c:pt idx="9">
                  <c:v>124375</c:v>
                </c:pt>
                <c:pt idx="10">
                  <c:v>52845</c:v>
                </c:pt>
                <c:pt idx="11">
                  <c:v>98825</c:v>
                </c:pt>
                <c:pt idx="12">
                  <c:v>71385</c:v>
                </c:pt>
                <c:pt idx="13">
                  <c:v>113200</c:v>
                </c:pt>
                <c:pt idx="14">
                  <c:v>101715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87-4153-BF36-C832F6D43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2111344"/>
        <c:axId val="187075248"/>
      </c:barChart>
      <c:catAx>
        <c:axId val="71211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75248"/>
        <c:crosses val="autoZero"/>
        <c:auto val="1"/>
        <c:lblAlgn val="ctr"/>
        <c:lblOffset val="100"/>
        <c:noMultiLvlLbl val="0"/>
      </c:catAx>
      <c:valAx>
        <c:axId val="18707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11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[SHREE RAM CLOTHING NAGPUR ^LJ PERSJECT .xlsx]PIVIT TABLES !PivotTable10</c:name>
    <c:fmtId val="4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PAYMENT  MATHORD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'PIVIT TABLES '!$C$99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B48-4382-AC8D-F9CC61D1E44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B48-4382-AC8D-F9CC61D1E44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B48-4382-AC8D-F9CC61D1E44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B48-4382-AC8D-F9CC61D1E44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'PIVIT TABLES '!$B$100:$B$104</c:f>
              <c:strCache>
                <c:ptCount val="4"/>
                <c:pt idx="0">
                  <c:v>Card</c:v>
                </c:pt>
                <c:pt idx="1">
                  <c:v>Cash</c:v>
                </c:pt>
                <c:pt idx="2">
                  <c:v>Credit</c:v>
                </c:pt>
                <c:pt idx="3">
                  <c:v>UPI</c:v>
                </c:pt>
              </c:strCache>
            </c:strRef>
          </c:cat>
          <c:val>
            <c:numRef>
              <c:f>'PIVIT TABLES '!$C$100:$C$104</c:f>
              <c:numCache>
                <c:formatCode>General</c:formatCode>
                <c:ptCount val="4"/>
                <c:pt idx="0">
                  <c:v>173</c:v>
                </c:pt>
                <c:pt idx="1">
                  <c:v>154</c:v>
                </c:pt>
                <c:pt idx="2">
                  <c:v>35</c:v>
                </c:pt>
                <c:pt idx="3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5-4A40-B57B-4538D2D0A88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537032229267604"/>
          <c:y val="0"/>
          <c:w val="0.2923420940687092"/>
          <c:h val="0.949601382788016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215452</xdr:colOff>
      <xdr:row>0</xdr:row>
      <xdr:rowOff>0</xdr:rowOff>
    </xdr:from>
    <xdr:to>
      <xdr:col>25</xdr:col>
      <xdr:colOff>132627</xdr:colOff>
      <xdr:row>14</xdr:row>
      <xdr:rowOff>82827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396EA76-E039-503D-F185-B7806D1EE119}"/>
            </a:ext>
          </a:extLst>
        </xdr:cNvPr>
        <xdr:cNvSpPr/>
      </xdr:nvSpPr>
      <xdr:spPr>
        <a:xfrm>
          <a:off x="4438202" y="0"/>
          <a:ext cx="10775675" cy="274982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algn="l"/>
          <a:r>
            <a:rPr lang="en-IN" sz="4800" b="1" cap="none" spc="0">
              <a:ln/>
              <a:solidFill>
                <a:schemeClr val="accent4"/>
              </a:solidFill>
              <a:effectLst/>
            </a:rPr>
            <a:t>SHREE</a:t>
          </a:r>
          <a:r>
            <a:rPr lang="en-IN" sz="4800" b="1" cap="none" spc="0" baseline="0">
              <a:ln/>
              <a:solidFill>
                <a:schemeClr val="accent4"/>
              </a:solidFill>
              <a:effectLst/>
            </a:rPr>
            <a:t> RAM   CLOTHING BRAND NAGPUR </a:t>
          </a:r>
          <a:endParaRPr lang="en-IN" sz="4800" b="1" cap="none" spc="0">
            <a:ln/>
            <a:solidFill>
              <a:schemeClr val="accent4"/>
            </a:solidFill>
            <a:effectLst/>
          </a:endParaRPr>
        </a:p>
      </xdr:txBody>
    </xdr:sp>
    <xdr:clientData/>
  </xdr:twoCellAnchor>
  <xdr:twoCellAnchor>
    <xdr:from>
      <xdr:col>15</xdr:col>
      <xdr:colOff>121230</xdr:colOff>
      <xdr:row>36</xdr:row>
      <xdr:rowOff>150593</xdr:rowOff>
    </xdr:from>
    <xdr:to>
      <xdr:col>32</xdr:col>
      <xdr:colOff>329047</xdr:colOff>
      <xdr:row>54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27D7B7-6A02-4DA7-9576-7B45435BB3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131379</xdr:colOff>
      <xdr:row>32</xdr:row>
      <xdr:rowOff>97007</xdr:rowOff>
    </xdr:from>
    <xdr:to>
      <xdr:col>14</xdr:col>
      <xdr:colOff>512379</xdr:colOff>
      <xdr:row>53</xdr:row>
      <xdr:rowOff>111124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9D2304-63B8-4D5C-8717-15EECFF49A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102818</xdr:colOff>
      <xdr:row>9</xdr:row>
      <xdr:rowOff>102818</xdr:rowOff>
    </xdr:from>
    <xdr:to>
      <xdr:col>23</xdr:col>
      <xdr:colOff>385566</xdr:colOff>
      <xdr:row>22</xdr:row>
      <xdr:rowOff>158367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CC7704-6D60-41BD-BA53-EA73932E2F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86592</xdr:colOff>
      <xdr:row>23</xdr:row>
      <xdr:rowOff>82073</xdr:rowOff>
    </xdr:from>
    <xdr:to>
      <xdr:col>23</xdr:col>
      <xdr:colOff>440416</xdr:colOff>
      <xdr:row>36</xdr:row>
      <xdr:rowOff>98639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959AE6F-6D39-4BA4-B134-14CD871269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540630</xdr:colOff>
      <xdr:row>23</xdr:row>
      <xdr:rowOff>30120</xdr:rowOff>
    </xdr:from>
    <xdr:to>
      <xdr:col>32</xdr:col>
      <xdr:colOff>381000</xdr:colOff>
      <xdr:row>36</xdr:row>
      <xdr:rowOff>79815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67FAAFA-2F9B-4BD1-9C92-036B24D09F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555689</xdr:colOff>
      <xdr:row>9</xdr:row>
      <xdr:rowOff>64755</xdr:rowOff>
    </xdr:from>
    <xdr:to>
      <xdr:col>32</xdr:col>
      <xdr:colOff>362288</xdr:colOff>
      <xdr:row>22</xdr:row>
      <xdr:rowOff>97886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C3C68A2-EAD1-4998-B2C4-B4E00BCCDA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117670</xdr:colOff>
      <xdr:row>9</xdr:row>
      <xdr:rowOff>99964</xdr:rowOff>
    </xdr:from>
    <xdr:to>
      <xdr:col>14</xdr:col>
      <xdr:colOff>538655</xdr:colOff>
      <xdr:row>32</xdr:row>
      <xdr:rowOff>53473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FEDA87A-876B-458F-9EA6-548A6DD0B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448319</xdr:colOff>
      <xdr:row>55</xdr:row>
      <xdr:rowOff>79376</xdr:rowOff>
    </xdr:from>
    <xdr:to>
      <xdr:col>19</xdr:col>
      <xdr:colOff>79375</xdr:colOff>
      <xdr:row>62</xdr:row>
      <xdr:rowOff>111126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0" name="Date">
              <a:extLst>
                <a:ext uri="{FF2B5EF4-FFF2-40B4-BE49-F238E27FC236}">
                  <a16:creationId xmlns:a16="http://schemas.microsoft.com/office/drawing/2014/main" id="{C5BB61FC-3251-395F-BFD5-FC50ECDED7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46890" y="9808483"/>
              <a:ext cx="6366592" cy="127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0</xdr:col>
      <xdr:colOff>63500</xdr:colOff>
      <xdr:row>54</xdr:row>
      <xdr:rowOff>31749</xdr:rowOff>
    </xdr:from>
    <xdr:to>
      <xdr:col>7</xdr:col>
      <xdr:colOff>523875</xdr:colOff>
      <xdr:row>66</xdr:row>
      <xdr:rowOff>108016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9FB867BB-2819-41EC-92B8-33B0498049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369570</xdr:colOff>
      <xdr:row>1</xdr:row>
      <xdr:rowOff>34290</xdr:rowOff>
    </xdr:from>
    <xdr:to>
      <xdr:col>10</xdr:col>
      <xdr:colOff>236220</xdr:colOff>
      <xdr:row>14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F3BFAF-3F70-4C36-38AF-94CD3128D5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308610</xdr:colOff>
      <xdr:row>15</xdr:row>
      <xdr:rowOff>106680</xdr:rowOff>
    </xdr:from>
    <xdr:to>
      <xdr:col>10</xdr:col>
      <xdr:colOff>312420</xdr:colOff>
      <xdr:row>28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A514A5-C39C-9D80-AE67-413AA303AB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110489</xdr:colOff>
      <xdr:row>52</xdr:row>
      <xdr:rowOff>160020</xdr:rowOff>
    </xdr:from>
    <xdr:to>
      <xdr:col>16</xdr:col>
      <xdr:colOff>367861</xdr:colOff>
      <xdr:row>66</xdr:row>
      <xdr:rowOff>87630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9C92DF-B039-6ACB-9909-E43093CDBB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223344</xdr:colOff>
      <xdr:row>69</xdr:row>
      <xdr:rowOff>34158</xdr:rowOff>
    </xdr:from>
    <xdr:to>
      <xdr:col>16</xdr:col>
      <xdr:colOff>551792</xdr:colOff>
      <xdr:row>83</xdr:row>
      <xdr:rowOff>123496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562129-8068-9854-24FF-79231F291A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52552</xdr:colOff>
      <xdr:row>84</xdr:row>
      <xdr:rowOff>126125</xdr:rowOff>
    </xdr:from>
    <xdr:to>
      <xdr:col>16</xdr:col>
      <xdr:colOff>591206</xdr:colOff>
      <xdr:row>98</xdr:row>
      <xdr:rowOff>57807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2E3AAE6-A561-DFC8-B886-F76B8B2F8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157656</xdr:colOff>
      <xdr:row>98</xdr:row>
      <xdr:rowOff>178676</xdr:rowOff>
    </xdr:from>
    <xdr:to>
      <xdr:col>16</xdr:col>
      <xdr:colOff>551793</xdr:colOff>
      <xdr:row>113</xdr:row>
      <xdr:rowOff>162911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22FE2E0-0A86-2CFB-8F86-A8DAE50355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243050</xdr:colOff>
      <xdr:row>99</xdr:row>
      <xdr:rowOff>39412</xdr:rowOff>
    </xdr:from>
    <xdr:to>
      <xdr:col>32</xdr:col>
      <xdr:colOff>341585</xdr:colOff>
      <xdr:row>121</xdr:row>
      <xdr:rowOff>110356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653FDF8-6B25-F450-ABCA-785172C1BE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397214</xdr:colOff>
      <xdr:row>78</xdr:row>
      <xdr:rowOff>64850</xdr:rowOff>
    </xdr:from>
    <xdr:to>
      <xdr:col>27</xdr:col>
      <xdr:colOff>437745</xdr:colOff>
      <xdr:row>97</xdr:row>
      <xdr:rowOff>34046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C262494-FA51-A47F-D855-523C274801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ris patel" refreshedDate="46270.608603009263" createdVersion="8" refreshedVersion="8" minRefreshableVersion="3" recordCount="650" xr:uid="{291D81E3-91D0-44A7-B95F-99F6A8F36C98}">
  <cacheSource type="worksheet">
    <worksheetSource name="Raw_Sales"/>
  </cacheSource>
  <cacheFields count="18">
    <cacheField name="Invoice ID" numFmtId="0">
      <sharedItems/>
    </cacheField>
    <cacheField name="Date" numFmtId="14">
      <sharedItems containsSemiMixedTypes="0" containsNonDate="0" containsDate="1" containsString="0" minDate="2026-01-01T00:00:00" maxDate="2026-09-01T00:00:00"/>
    </cacheField>
    <cacheField name="Month Name" numFmtId="0">
      <sharedItems/>
    </cacheField>
    <cacheField name="Customer ID" numFmtId="0">
      <sharedItems count="121">
        <s v="CUST061"/>
        <s v="CUST024"/>
        <s v="CUST021"/>
        <s v="CUST092"/>
        <s v="CUST003"/>
        <s v="CUST114"/>
        <s v="CUST008"/>
        <s v="CUST106"/>
        <s v="CUST014"/>
        <s v="CUST089"/>
        <s v="CUST088"/>
        <s v="CUST005"/>
        <s v="CUST048"/>
        <s v="CUST001"/>
        <s v="CUST042"/>
        <s v="CUST094"/>
        <s v="CUST059"/>
        <s v="CUST108"/>
        <s v="CUST097"/>
        <s v="CUST072"/>
        <s v="CUST118"/>
        <s v="CUST087"/>
        <s v="CUST070"/>
        <s v="CUST098"/>
        <s v="CUST033"/>
        <s v="CUST012"/>
        <s v="CUST020"/>
        <s v="CUST112"/>
        <s v="CUST030"/>
        <s v="CUST111"/>
        <s v="CUST044"/>
        <s v="CUST093"/>
        <s v="CUST032"/>
        <s v="CUST104"/>
        <s v="CUST017"/>
        <s v="CUST050"/>
        <s v="CUST051"/>
        <s v="CUST068"/>
        <s v="CUST062"/>
        <s v="CUST069"/>
        <s v="CUST085"/>
        <s v="CUST034"/>
        <s v="CUST004"/>
        <s v="CUST029"/>
        <s v="CUST090"/>
        <s v="CUST117"/>
        <s v="CUST010"/>
        <s v="CUST023"/>
        <s v="CUST113"/>
        <s v="CUST105"/>
        <s v="CUST016"/>
        <s v="CUST035"/>
        <s v="CUST102"/>
        <s v="CUST038"/>
        <s v="CUST019"/>
        <s v="CUST049"/>
        <s v="CUST047"/>
        <s v="CUST027"/>
        <s v="CUST006"/>
        <s v="CUST037"/>
        <s v="CUST077"/>
        <s v="CUST026"/>
        <s v="CUST081"/>
        <s v="CUST056"/>
        <s v="CUST115"/>
        <s v="CUST099"/>
        <s v="CUST086"/>
        <s v="CUST109"/>
        <s v="CUST101"/>
        <s v="CUST075"/>
        <s v="CUST066"/>
        <s v="CUST120"/>
        <s v="CUST063"/>
        <s v="CUST095"/>
        <s v="CUST007"/>
        <s v="CUST103"/>
        <s v="CUST100"/>
        <s v="CUST002"/>
        <s v="CUST011"/>
        <s v="CUST009"/>
        <s v="CUST015"/>
        <s v="CUST071"/>
        <s v="CUST054"/>
        <s v="CUST074"/>
        <s v="CUST040"/>
        <s v="CUST058"/>
        <s v="CUST083"/>
        <s v="CUST039"/>
        <s v="CUST053"/>
        <s v="CUST110"/>
        <s v="CUST067"/>
        <s v="CUST091"/>
        <s v="CUST060"/>
        <s v="CUST107"/>
        <s v="CUST028"/>
        <s v="CUST052"/>
        <s v="CUST080"/>
        <s v="CUST064"/>
        <s v="CUST041"/>
        <s v="CUST022"/>
        <s v="CUST036"/>
        <s v="CUST031"/>
        <s v="CUST013"/>
        <s v="unknown "/>
        <s v="CUST045"/>
        <s v="CUST055"/>
        <s v="CUST018"/>
        <s v="CUST082"/>
        <s v="CUST046"/>
        <s v="CUST025"/>
        <s v="CUST116"/>
        <s v="CUST073"/>
        <s v="CUST084"/>
        <s v="CUST065"/>
        <s v="CUST096"/>
        <s v="CUST076"/>
        <s v="CUST057"/>
        <s v="CUST119"/>
        <s v="CUST079"/>
        <s v="CUST043"/>
        <s v="CUST078"/>
      </sharedItems>
    </cacheField>
    <cacheField name="Product ID" numFmtId="0">
      <sharedItems/>
    </cacheField>
    <cacheField name="Product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4"/>
    </cacheField>
    <cacheField name="Unit Price" numFmtId="0">
      <sharedItems containsSemiMixedTypes="0" containsString="0" containsNumber="1" containsInteger="1" minValue="550" maxValue="1500"/>
    </cacheField>
    <cacheField name="Discount" numFmtId="0">
      <sharedItems containsSemiMixedTypes="0" containsString="0" containsNumber="1" minValue="0" maxValue="100"/>
    </cacheField>
    <cacheField name="Gross Sales" numFmtId="0">
      <sharedItems containsSemiMixedTypes="0" containsString="0" containsNumber="1" minValue="467.5" maxValue="6000"/>
    </cacheField>
    <cacheField name="COst of Goods" numFmtId="0">
      <sharedItems containsSemiMixedTypes="0" containsString="0" containsNumber="1" containsInteger="1" minValue="300" maxValue="3680"/>
    </cacheField>
    <cacheField name="Gross Profit " numFmtId="0">
      <sharedItems containsSemiMixedTypes="0" containsString="0" containsNumber="1" minValue="167.5" maxValue="2320"/>
    </cacheField>
    <cacheField name="Salesperson" numFmtId="0">
      <sharedItems/>
    </cacheField>
    <cacheField name="Store" numFmtId="0">
      <sharedItems/>
    </cacheField>
    <cacheField name="City" numFmtId="0">
      <sharedItems/>
    </cacheField>
    <cacheField name="Payment Method" numFmtId="0">
      <sharedItems/>
    </cacheField>
    <cacheField name="Custom" numFmtId="10">
      <sharedItems containsSemiMixedTypes="0" containsString="0" containsNumber="1" minValue="0.30666666666666698" maxValue="0.454545454545453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aris patel" refreshedDate="46270.652399652776" backgroundQuery="1" createdVersion="8" refreshedVersion="8" minRefreshableVersion="3" recordCount="0" supportSubquery="1" supportAdvancedDrill="1" xr:uid="{2443D20A-9278-49BC-A945-1018ADB7236B}">
  <cacheSource type="external" connectionId="6"/>
  <cacheFields count="3">
    <cacheField name="[Raw_Sales].[Month Name].[Month Name]" caption="Month Name" numFmtId="0" hierarchy="21" level="1">
      <sharedItems count="8">
        <s v="April"/>
        <s v="August"/>
        <s v="February"/>
        <s v="January"/>
        <s v="July"/>
        <s v="June"/>
        <s v="March"/>
        <s v="May"/>
      </sharedItems>
    </cacheField>
    <cacheField name="[Measures].[Sum of Gross Sales]" caption="Sum of Gross Sales" numFmtId="0" hierarchy="41" level="32767"/>
    <cacheField name="[Raw_Sales].[Product].[Product]" caption="Product" numFmtId="0" hierarchy="24" level="1">
      <sharedItems count="15">
        <s v="Basic T-Shirt"/>
        <s v="Casual Shirt"/>
        <s v="Cotton Trousers"/>
        <s v="Formal Shirt"/>
        <s v="Formal Trousers"/>
        <s v="Hoodie"/>
        <s v="Kids Jeans"/>
        <s v="Kids Shirt"/>
        <s v="Kurta"/>
        <s v="Kurta Set"/>
        <s v="Polo T-Shirt"/>
        <s v="Premium Shirt"/>
        <s v="Regular Jeans"/>
        <s v="Slim Jeans"/>
        <s v="Sweatshirt"/>
      </sharedItems>
    </cacheField>
  </cacheFields>
  <cacheHierarchies count="63">
    <cacheHierarchy uniqueName="[Customers].[Column1]" caption="Column1" attribute="1" defaultMemberUniqueName="[Customers].[Column1].[All]" allUniqueName="[Customers].[Column1].[All]" dimensionUniqueName="[Customers]" displayFolder="" count="0" memberValueDatatype="130" unbalanced="0"/>
    <cacheHierarchy uniqueName="[Customers].[Column2]" caption="Column2" attribute="1" defaultMemberUniqueName="[Customers].[Column2].[All]" allUniqueName="[Customers].[Column2].[All]" dimensionUniqueName="[Customers]" displayFolder="" count="0" memberValueDatatype="130" unbalanced="0"/>
    <cacheHierarchy uniqueName="[Customers].[Column3]" caption="Column3" attribute="1" defaultMemberUniqueName="[Customers].[Column3].[All]" allUniqueName="[Customers].[Column3].[All]" dimensionUniqueName="[Customers]" displayFolder="" count="0" memberValueDatatype="130" unbalanced="0"/>
    <cacheHierarchy uniqueName="[Expenses].[Expense ID]" caption="Expense ID" attribute="1" defaultMemberUniqueName="[Expenses].[Expense ID].[All]" allUniqueName="[Expenses].[Expense ID].[All]" dimensionUniqueName="[Expenses]" displayFolder="" count="0" memberValueDatatype="130" unbalanced="0"/>
    <cacheHierarchy uniqueName="[Expenses].[Date]" caption="Date" attribute="1" time="1" defaultMemberUniqueName="[Expenses].[Date].[All]" allUniqueName="[Expenses].[Date].[All]" dimensionUniqueName="[Expenses]" displayFolder="" count="0" memberValueDatatype="7" unbalanced="0"/>
    <cacheHierarchy uniqueName="[Expenses].[Expense Category]" caption="Expense Category" attribute="1" defaultMemberUniqueName="[Expenses].[Expense Category].[All]" allUniqueName="[Expenses].[Expense Category].[All]" dimensionUniqueName="[Expenses]" displayFolder="" count="0" memberValueDatatype="130" unbalanced="0"/>
    <cacheHierarchy uniqueName="[Expenses].[Amount]" caption="Amount" attribute="1" defaultMemberUniqueName="[Expenses].[Amount].[All]" allUniqueName="[Expenses].[Amount].[All]" dimensionUniqueName="[Expenses]" displayFolder="" count="0" memberValueDatatype="20" unbalanced="0"/>
    <cacheHierarchy uniqueName="[Expenses].[Store]" caption="Store" attribute="1" defaultMemberUniqueName="[Expenses].[Store].[All]" allUniqueName="[Expenses].[Store].[All]" dimensionUniqueName="[Expenses]" displayFolder="" count="0" memberValueDatatype="130" unbalanced="0"/>
    <cacheHierarchy uniqueName="[Manager_Questions].[No]" caption="No" attribute="1" defaultMemberUniqueName="[Manager_Questions].[No].[All]" allUniqueName="[Manager_Questions].[No].[All]" dimensionUniqueName="[Manager_Questions]" displayFolder="" count="0" memberValueDatatype="20" unbalanced="0"/>
    <cacheHierarchy uniqueName="[Manager_Questions].[Manager Question]" caption="Manager Question" attribute="1" defaultMemberUniqueName="[Manager_Questions].[Manager Question].[All]" allUniqueName="[Manager_Questions].[Manager Question].[All]" dimensionUniqueName="[Manager_Questions]" displayFolder="" count="0" memberValueDatatype="130" unbalanced="0"/>
    <cacheHierarchy uniqueName="[Purchases].[Purchase ID]" caption="Purchase ID" attribute="1" defaultMemberUniqueName="[Purchases].[Purchase ID].[All]" allUniqueName="[Purchases].[Purchase ID].[All]" dimensionUniqueName="[Purchases]" displayFolder="" count="0" memberValueDatatype="130" unbalanced="0"/>
    <cacheHierarchy uniqueName="[Purchases].[Date]" caption="Date" attribute="1" time="1" defaultMemberUniqueName="[Purchases].[Date].[All]" allUniqueName="[Purchases].[Date].[All]" dimensionUniqueName="[Purchases]" displayFolder="" count="0" memberValueDatatype="7" unbalanced="0"/>
    <cacheHierarchy uniqueName="[Purchases].[Product ID]" caption="Product ID" attribute="1" defaultMemberUniqueName="[Purchases].[Product ID].[All]" allUniqueName="[Purchases].[Product ID].[All]" dimensionUniqueName="[Purchases]" displayFolder="" count="0" memberValueDatatype="130" unbalanced="0"/>
    <cacheHierarchy uniqueName="[Purchases].[Product]" caption="Product" attribute="1" defaultMemberUniqueName="[Purchases].[Product].[All]" allUniqueName="[Purchases].[Product].[All]" dimensionUniqueName="[Purchases]" displayFolder="" count="0" memberValueDatatype="130" unbalanced="0"/>
    <cacheHierarchy uniqueName="[Purchases].[Category]" caption="Category" attribute="1" defaultMemberUniqueName="[Purchases].[Category].[All]" allUniqueName="[Purchases].[Category].[All]" dimensionUniqueName="[Purchases]" displayFolder="" count="0" memberValueDatatype="130" unbalanced="0"/>
    <cacheHierarchy uniqueName="[Purchases].[Quantity]" caption="Quantity" attribute="1" defaultMemberUniqueName="[Purchases].[Quantity].[All]" allUniqueName="[Purchases].[Quantity].[All]" dimensionUniqueName="[Purchases]" displayFolder="" count="0" memberValueDatatype="20" unbalanced="0"/>
    <cacheHierarchy uniqueName="[Purchases].[Unit Cost]" caption="Unit Cost" attribute="1" defaultMemberUniqueName="[Purchases].[Unit Cost].[All]" allUniqueName="[Purchases].[Unit Cost].[All]" dimensionUniqueName="[Purchases]" displayFolder="" count="0" memberValueDatatype="5" unbalanced="0"/>
    <cacheHierarchy uniqueName="[Purchases].[Purchase Amount]" caption="Purchase Amount" attribute="1" defaultMemberUniqueName="[Purchases].[Purchase Amount].[All]" allUniqueName="[Purchases].[Purchase Amount].[All]" dimensionUniqueName="[Purchases]" displayFolder="" count="0" memberValueDatatype="5" unbalanced="0"/>
    <cacheHierarchy uniqueName="[Purchases].[Supplier]" caption="Supplier" attribute="1" defaultMemberUniqueName="[Purchases].[Supplier].[All]" allUniqueName="[Purchases].[Supplier].[All]" dimensionUniqueName="[Purchases]" displayFolder="" count="0" memberValueDatatype="130" unbalanced="0"/>
    <cacheHierarchy uniqueName="[Raw_Sales].[Invoice ID]" caption="Invoice ID" attribute="1" defaultMemberUniqueName="[Raw_Sales].[Invoice ID].[All]" allUniqueName="[Raw_Sales].[Invoice ID].[All]" dimensionUniqueName="[Raw_Sales]" displayFolder="" count="0" memberValueDatatype="130" unbalanced="0"/>
    <cacheHierarchy uniqueName="[Raw_Sales].[Date]" caption="Date" attribute="1" time="1" defaultMemberUniqueName="[Raw_Sales].[Date].[All]" allUniqueName="[Raw_Sales].[Date].[All]" dimensionUniqueName="[Raw_Sales]" displayFolder="" count="2" memberValueDatatype="7" unbalanced="0"/>
    <cacheHierarchy uniqueName="[Raw_Sales].[Month Name]" caption="Month Name" attribute="1" defaultMemberUniqueName="[Raw_Sales].[Month Name].[All]" allUniqueName="[Raw_Sales].[Month Name].[All]" dimensionUniqueName="[Raw_Sales]" displayFolder="" count="2" memberValueDatatype="130" unbalanced="0">
      <fieldsUsage count="2">
        <fieldUsage x="-1"/>
        <fieldUsage x="0"/>
      </fieldsUsage>
    </cacheHierarchy>
    <cacheHierarchy uniqueName="[Raw_Sales].[Customer ID]" caption="Customer ID" attribute="1" defaultMemberUniqueName="[Raw_Sales].[Customer ID].[All]" allUniqueName="[Raw_Sales].[Customer ID].[All]" dimensionUniqueName="[Raw_Sales]" displayFolder="" count="0" memberValueDatatype="130" unbalanced="0"/>
    <cacheHierarchy uniqueName="[Raw_Sales].[Product ID]" caption="Product ID" attribute="1" defaultMemberUniqueName="[Raw_Sales].[Product ID].[All]" allUniqueName="[Raw_Sales].[Product ID].[All]" dimensionUniqueName="[Raw_Sales]" displayFolder="" count="0" memberValueDatatype="130" unbalanced="0"/>
    <cacheHierarchy uniqueName="[Raw_Sales].[Product]" caption="Product" attribute="1" defaultMemberUniqueName="[Raw_Sales].[Product].[All]" allUniqueName="[Raw_Sales].[Product].[All]" dimensionUniqueName="[Raw_Sales]" displayFolder="" count="2" memberValueDatatype="130" unbalanced="0">
      <fieldsUsage count="2">
        <fieldUsage x="-1"/>
        <fieldUsage x="2"/>
      </fieldsUsage>
    </cacheHierarchy>
    <cacheHierarchy uniqueName="[Raw_Sales].[Category]" caption="Category" attribute="1" defaultMemberUniqueName="[Raw_Sales].[Category].[All]" allUniqueName="[Raw_Sales].[Category].[All]" dimensionUniqueName="[Raw_Sales]" displayFolder="" count="0" memberValueDatatype="130" unbalanced="0"/>
    <cacheHierarchy uniqueName="[Raw_Sales].[Quantity]" caption="Quantity" attribute="1" defaultMemberUniqueName="[Raw_Sales].[Quantity].[All]" allUniqueName="[Raw_Sales].[Quantity].[All]" dimensionUniqueName="[Raw_Sales]" displayFolder="" count="0" memberValueDatatype="20" unbalanced="0"/>
    <cacheHierarchy uniqueName="[Raw_Sales].[Unit Price]" caption="Unit Price" attribute="1" defaultMemberUniqueName="[Raw_Sales].[Unit Price].[All]" allUniqueName="[Raw_Sales].[Unit Price].[All]" dimensionUniqueName="[Raw_Sales]" displayFolder="" count="0" memberValueDatatype="20" unbalanced="0"/>
    <cacheHierarchy uniqueName="[Raw_Sales].[Discount]" caption="Discount" attribute="1" defaultMemberUniqueName="[Raw_Sales].[Discount].[All]" allUniqueName="[Raw_Sales].[Discount].[All]" dimensionUniqueName="[Raw_Sales]" displayFolder="" count="0" memberValueDatatype="5" unbalanced="0"/>
    <cacheHierarchy uniqueName="[Raw_Sales].[Gross Sales]" caption="Gross Sales" attribute="1" defaultMemberUniqueName="[Raw_Sales].[Gross Sales].[All]" allUniqueName="[Raw_Sales].[Gross Sales].[All]" dimensionUniqueName="[Raw_Sales]" displayFolder="" count="0" memberValueDatatype="5" unbalanced="0"/>
    <cacheHierarchy uniqueName="[Raw_Sales].[COst of Goods]" caption="COst of Goods" attribute="1" defaultMemberUniqueName="[Raw_Sales].[COst of Goods].[All]" allUniqueName="[Raw_Sales].[COst of Goods].[All]" dimensionUniqueName="[Raw_Sales]" displayFolder="" count="0" memberValueDatatype="20" unbalanced="0"/>
    <cacheHierarchy uniqueName="[Raw_Sales].[Gross Profit]" caption="Gross Profit" attribute="1" defaultMemberUniqueName="[Raw_Sales].[Gross Profit].[All]" allUniqueName="[Raw_Sales].[Gross Profit].[All]" dimensionUniqueName="[Raw_Sales]" displayFolder="" count="0" memberValueDatatype="5" unbalanced="0"/>
    <cacheHierarchy uniqueName="[Raw_Sales].[Salesperson]" caption="Salesperson" attribute="1" defaultMemberUniqueName="[Raw_Sales].[Salesperson].[All]" allUniqueName="[Raw_Sales].[Salesperson].[All]" dimensionUniqueName="[Raw_Sales]" displayFolder="" count="0" memberValueDatatype="130" unbalanced="0"/>
    <cacheHierarchy uniqueName="[Raw_Sales].[Store]" caption="Store" attribute="1" defaultMemberUniqueName="[Raw_Sales].[Store].[All]" allUniqueName="[Raw_Sales].[Store].[All]" dimensionUniqueName="[Raw_Sales]" displayFolder="" count="0" memberValueDatatype="130" unbalanced="0"/>
    <cacheHierarchy uniqueName="[Raw_Sales].[City]" caption="City" attribute="1" defaultMemberUniqueName="[Raw_Sales].[City].[All]" allUniqueName="[Raw_Sales].[City].[All]" dimensionUniqueName="[Raw_Sales]" displayFolder="" count="0" memberValueDatatype="130" unbalanced="0"/>
    <cacheHierarchy uniqueName="[Raw_Sales].[Payment Method]" caption="Payment Method" attribute="1" defaultMemberUniqueName="[Raw_Sales].[Payment Method].[All]" allUniqueName="[Raw_Sales].[Payment Method].[All]" dimensionUniqueName="[Raw_Sales]" displayFolder="" count="0" memberValueDatatype="130" unbalanced="0"/>
    <cacheHierarchy uniqueName="[Raw_Sales].[Grossprofit]" caption="Grossprofit" attribute="1" defaultMemberUniqueName="[Raw_Sales].[Grossprofit].[All]" allUniqueName="[Raw_Sales].[Grossprofit].[All]" dimensionUniqueName="[Raw_Sales]" displayFolder="" count="0" memberValueDatatype="5" unbalanced="0"/>
    <cacheHierarchy uniqueName="[Raw_Sales].[Custom]" caption="Custom" attribute="1" defaultMemberUniqueName="[Raw_Sales].[Custom].[All]" allUniqueName="[Raw_Sales].[Custom].[All]" dimensionUniqueName="[Raw_Sales]" displayFolder="" count="0" memberValueDatatype="5" unbalanced="0"/>
    <cacheHierarchy uniqueName="[Table7].[Customer ID]" caption="Customer ID" attribute="1" defaultMemberUniqueName="[Table7].[Customer ID].[All]" allUniqueName="[Table7].[Customer ID].[All]" dimensionUniqueName="[Table7]" displayFolder="" count="0" memberValueDatatype="130" unbalanced="0"/>
    <cacheHierarchy uniqueName="[Table7].[Customer Name]" caption="Customer Name" attribute="1" defaultMemberUniqueName="[Table7].[Customer Name].[All]" allUniqueName="[Table7].[Customer Name].[All]" dimensionUniqueName="[Table7]" displayFolder="" count="0" memberValueDatatype="130" unbalanced="0"/>
    <cacheHierarchy uniqueName="[Table7].[City]" caption="City" attribute="1" defaultMemberUniqueName="[Table7].[City].[All]" allUniqueName="[Table7].[City].[All]" dimensionUniqueName="[Table7]" displayFolder="" count="0" memberValueDatatype="130" unbalanced="0"/>
    <cacheHierarchy uniqueName="[Measures].[Sum of Gross Sales]" caption="Sum of Gross Sales" measure="1" displayFolder="" measureGroup="Raw_Sale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Gross Profit]" caption="Sum of Gross Profit" measure="1" displayFolder="" measureGroup="Raw_Sale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Payment Method]" caption="Count of Payment Method" measure="1" displayFolder="" measureGroup="Raw_Sales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]" caption="Sum of Custom" measure="1" displayFolder="" measureGroup="Raw_Sale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Custom]" caption="Count of Custom" measure="1" displayFolder="" measureGroup="Raw_Sale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Custom]" caption="Average of Custom" measure="1" displayFolder="" measureGroup="Raw_Sale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total gross profit]" caption="total gross profit" measure="1" displayFolder="" measureGroup="Raw_Sales" count="0"/>
    <cacheHierarchy uniqueName="[Measures].[total sales revenue]" caption="total sales revenue" measure="1" displayFolder="" measureGroup="Raw_Sales" count="0"/>
    <cacheHierarchy uniqueName="[Measures].[Measure 1]" caption="Measure 1" measure="1" displayFolder="" measureGroup="Raw_Sales" count="0"/>
    <cacheHierarchy uniqueName="[Measures].[Quntity of invice]" caption="Quntity of invice" measure="1" displayFolder="" measureGroup="Raw_Sales" count="0"/>
    <cacheHierarchy uniqueName="[Measures].[avg order value]" caption="avg order value" measure="1" displayFolder="" measureGroup="Raw_Sales" count="0"/>
    <cacheHierarchy uniqueName="[Measures].[Copy of avg order value]" caption="Copy of avg order value" measure="1" displayFolder="" measureGroup="Raw_Sales" count="0"/>
    <cacheHierarchy uniqueName="[Measures].[Copy of Quntity of invice]" caption="Copy of Quntity of invice" measure="1" displayFolder="" measureGroup="Raw_Sales" count="0"/>
    <cacheHierarchy uniqueName="[Measures].[Copy of total sales revenue]" caption="Copy of total sales revenue" measure="1" displayFolder="" measureGroup="Raw_Sales" count="0"/>
    <cacheHierarchy uniqueName="[Measures].[TOTAL QUANTITY SOLD]" caption="TOTAL QUANTITY SOLD" measure="1" displayFolder="" measureGroup="Raw_Sales" count="0"/>
    <cacheHierarchy uniqueName="[Measures].[__XL_Count Raw_Sales]" caption="__XL_Count Raw_Sales" measure="1" displayFolder="" measureGroup="Raw_Sales" count="0" hidden="1"/>
    <cacheHierarchy uniqueName="[Measures].[__XL_Count Purchases]" caption="__XL_Count Purchases" measure="1" displayFolder="" measureGroup="Purchases" count="0" hidden="1"/>
    <cacheHierarchy uniqueName="[Measures].[__XL_Count Expenses]" caption="__XL_Count Expenses" measure="1" displayFolder="" measureGroup="Expenses" count="0" hidden="1"/>
    <cacheHierarchy uniqueName="[Measures].[__XL_Count Customers]" caption="__XL_Count Customers" measure="1" displayFolder="" measureGroup="Customers" count="0" hidden="1"/>
    <cacheHierarchy uniqueName="[Measures].[__XL_Count Manager_Questions]" caption="__XL_Count Manager_Questions" measure="1" displayFolder="" measureGroup="Manager_Questions" count="0" hidden="1"/>
    <cacheHierarchy uniqueName="[Measures].[__XL_Count Table7]" caption="__XL_Count Table7" measure="1" displayFolder="" measureGroup="Table7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Expenses" uniqueName="[Expenses]" caption="Expenses"/>
    <dimension name="Manager_Questions" uniqueName="[Manager_Questions]" caption="Manager_Questions"/>
    <dimension measure="1" name="Measures" uniqueName="[Measures]" caption="Measures"/>
    <dimension name="Purchases" uniqueName="[Purchases]" caption="Purchases"/>
    <dimension name="Raw_Sales" uniqueName="[Raw_Sales]" caption="Raw_Sales"/>
    <dimension name="Table7" uniqueName="[Table7]" caption="Table7"/>
  </dimensions>
  <measureGroups count="6">
    <measureGroup name="Customers" caption="Customers"/>
    <measureGroup name="Expenses" caption="Expenses"/>
    <measureGroup name="Manager_Questions" caption="Manager_Questions"/>
    <measureGroup name="Purchases" caption="Purchases"/>
    <measureGroup name="Raw_Sales" caption="Raw_Sales"/>
    <measureGroup name="Table7" caption="Table7"/>
  </measureGroups>
  <maps count="7">
    <map measureGroup="0" dimension="0"/>
    <map measureGroup="1" dimension="1"/>
    <map measureGroup="2" dimension="2"/>
    <map measureGroup="3" dimension="4"/>
    <map measureGroup="4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aris patel" refreshedDate="46270.652401157407" backgroundQuery="1" createdVersion="8" refreshedVersion="8" minRefreshableVersion="3" recordCount="0" supportSubquery="1" supportAdvancedDrill="1" xr:uid="{4AB7A3BE-0B52-47F6-A9E5-F3AF06C60BB4}">
  <cacheSource type="external" connectionId="6"/>
  <cacheFields count="2">
    <cacheField name="[Raw_Sales].[Month Name].[Month Name]" caption="Month Name" numFmtId="0" hierarchy="21" level="1">
      <sharedItems count="8">
        <s v="April"/>
        <s v="August"/>
        <s v="February"/>
        <s v="January"/>
        <s v="July"/>
        <s v="June"/>
        <s v="March"/>
        <s v="May"/>
      </sharedItems>
    </cacheField>
    <cacheField name="[Measures].[Sum of Gross Sales]" caption="Sum of Gross Sales" numFmtId="0" hierarchy="41" level="32767"/>
  </cacheFields>
  <cacheHierarchies count="63">
    <cacheHierarchy uniqueName="[Customers].[Column1]" caption="Column1" attribute="1" defaultMemberUniqueName="[Customers].[Column1].[All]" allUniqueName="[Customers].[Column1].[All]" dimensionUniqueName="[Customers]" displayFolder="" count="0" memberValueDatatype="130" unbalanced="0"/>
    <cacheHierarchy uniqueName="[Customers].[Column2]" caption="Column2" attribute="1" defaultMemberUniqueName="[Customers].[Column2].[All]" allUniqueName="[Customers].[Column2].[All]" dimensionUniqueName="[Customers]" displayFolder="" count="0" memberValueDatatype="130" unbalanced="0"/>
    <cacheHierarchy uniqueName="[Customers].[Column3]" caption="Column3" attribute="1" defaultMemberUniqueName="[Customers].[Column3].[All]" allUniqueName="[Customers].[Column3].[All]" dimensionUniqueName="[Customers]" displayFolder="" count="0" memberValueDatatype="130" unbalanced="0"/>
    <cacheHierarchy uniqueName="[Expenses].[Expense ID]" caption="Expense ID" attribute="1" defaultMemberUniqueName="[Expenses].[Expense ID].[All]" allUniqueName="[Expenses].[Expense ID].[All]" dimensionUniqueName="[Expenses]" displayFolder="" count="0" memberValueDatatype="130" unbalanced="0"/>
    <cacheHierarchy uniqueName="[Expenses].[Date]" caption="Date" attribute="1" time="1" defaultMemberUniqueName="[Expenses].[Date].[All]" allUniqueName="[Expenses].[Date].[All]" dimensionUniqueName="[Expenses]" displayFolder="" count="0" memberValueDatatype="7" unbalanced="0"/>
    <cacheHierarchy uniqueName="[Expenses].[Expense Category]" caption="Expense Category" attribute="1" defaultMemberUniqueName="[Expenses].[Expense Category].[All]" allUniqueName="[Expenses].[Expense Category].[All]" dimensionUniqueName="[Expenses]" displayFolder="" count="0" memberValueDatatype="130" unbalanced="0"/>
    <cacheHierarchy uniqueName="[Expenses].[Amount]" caption="Amount" attribute="1" defaultMemberUniqueName="[Expenses].[Amount].[All]" allUniqueName="[Expenses].[Amount].[All]" dimensionUniqueName="[Expenses]" displayFolder="" count="0" memberValueDatatype="20" unbalanced="0"/>
    <cacheHierarchy uniqueName="[Expenses].[Store]" caption="Store" attribute="1" defaultMemberUniqueName="[Expenses].[Store].[All]" allUniqueName="[Expenses].[Store].[All]" dimensionUniqueName="[Expenses]" displayFolder="" count="0" memberValueDatatype="130" unbalanced="0"/>
    <cacheHierarchy uniqueName="[Manager_Questions].[No]" caption="No" attribute="1" defaultMemberUniqueName="[Manager_Questions].[No].[All]" allUniqueName="[Manager_Questions].[No].[All]" dimensionUniqueName="[Manager_Questions]" displayFolder="" count="0" memberValueDatatype="20" unbalanced="0"/>
    <cacheHierarchy uniqueName="[Manager_Questions].[Manager Question]" caption="Manager Question" attribute="1" defaultMemberUniqueName="[Manager_Questions].[Manager Question].[All]" allUniqueName="[Manager_Questions].[Manager Question].[All]" dimensionUniqueName="[Manager_Questions]" displayFolder="" count="0" memberValueDatatype="130" unbalanced="0"/>
    <cacheHierarchy uniqueName="[Purchases].[Purchase ID]" caption="Purchase ID" attribute="1" defaultMemberUniqueName="[Purchases].[Purchase ID].[All]" allUniqueName="[Purchases].[Purchase ID].[All]" dimensionUniqueName="[Purchases]" displayFolder="" count="0" memberValueDatatype="130" unbalanced="0"/>
    <cacheHierarchy uniqueName="[Purchases].[Date]" caption="Date" attribute="1" time="1" defaultMemberUniqueName="[Purchases].[Date].[All]" allUniqueName="[Purchases].[Date].[All]" dimensionUniqueName="[Purchases]" displayFolder="" count="0" memberValueDatatype="7" unbalanced="0"/>
    <cacheHierarchy uniqueName="[Purchases].[Product ID]" caption="Product ID" attribute="1" defaultMemberUniqueName="[Purchases].[Product ID].[All]" allUniqueName="[Purchases].[Product ID].[All]" dimensionUniqueName="[Purchases]" displayFolder="" count="0" memberValueDatatype="130" unbalanced="0"/>
    <cacheHierarchy uniqueName="[Purchases].[Product]" caption="Product" attribute="1" defaultMemberUniqueName="[Purchases].[Product].[All]" allUniqueName="[Purchases].[Product].[All]" dimensionUniqueName="[Purchases]" displayFolder="" count="0" memberValueDatatype="130" unbalanced="0"/>
    <cacheHierarchy uniqueName="[Purchases].[Category]" caption="Category" attribute="1" defaultMemberUniqueName="[Purchases].[Category].[All]" allUniqueName="[Purchases].[Category].[All]" dimensionUniqueName="[Purchases]" displayFolder="" count="0" memberValueDatatype="130" unbalanced="0"/>
    <cacheHierarchy uniqueName="[Purchases].[Quantity]" caption="Quantity" attribute="1" defaultMemberUniqueName="[Purchases].[Quantity].[All]" allUniqueName="[Purchases].[Quantity].[All]" dimensionUniqueName="[Purchases]" displayFolder="" count="0" memberValueDatatype="20" unbalanced="0"/>
    <cacheHierarchy uniqueName="[Purchases].[Unit Cost]" caption="Unit Cost" attribute="1" defaultMemberUniqueName="[Purchases].[Unit Cost].[All]" allUniqueName="[Purchases].[Unit Cost].[All]" dimensionUniqueName="[Purchases]" displayFolder="" count="0" memberValueDatatype="5" unbalanced="0"/>
    <cacheHierarchy uniqueName="[Purchases].[Purchase Amount]" caption="Purchase Amount" attribute="1" defaultMemberUniqueName="[Purchases].[Purchase Amount].[All]" allUniqueName="[Purchases].[Purchase Amount].[All]" dimensionUniqueName="[Purchases]" displayFolder="" count="0" memberValueDatatype="5" unbalanced="0"/>
    <cacheHierarchy uniqueName="[Purchases].[Supplier]" caption="Supplier" attribute="1" defaultMemberUniqueName="[Purchases].[Supplier].[All]" allUniqueName="[Purchases].[Supplier].[All]" dimensionUniqueName="[Purchases]" displayFolder="" count="0" memberValueDatatype="130" unbalanced="0"/>
    <cacheHierarchy uniqueName="[Raw_Sales].[Invoice ID]" caption="Invoice ID" attribute="1" defaultMemberUniqueName="[Raw_Sales].[Invoice ID].[All]" allUniqueName="[Raw_Sales].[Invoice ID].[All]" dimensionUniqueName="[Raw_Sales]" displayFolder="" count="0" memberValueDatatype="130" unbalanced="0"/>
    <cacheHierarchy uniqueName="[Raw_Sales].[Date]" caption="Date" attribute="1" time="1" defaultMemberUniqueName="[Raw_Sales].[Date].[All]" allUniqueName="[Raw_Sales].[Date].[All]" dimensionUniqueName="[Raw_Sales]" displayFolder="" count="2" memberValueDatatype="7" unbalanced="0"/>
    <cacheHierarchy uniqueName="[Raw_Sales].[Month Name]" caption="Month Name" attribute="1" defaultMemberUniqueName="[Raw_Sales].[Month Name].[All]" allUniqueName="[Raw_Sales].[Month Name].[All]" dimensionUniqueName="[Raw_Sales]" displayFolder="" count="2" memberValueDatatype="130" unbalanced="0">
      <fieldsUsage count="2">
        <fieldUsage x="-1"/>
        <fieldUsage x="0"/>
      </fieldsUsage>
    </cacheHierarchy>
    <cacheHierarchy uniqueName="[Raw_Sales].[Customer ID]" caption="Customer ID" attribute="1" defaultMemberUniqueName="[Raw_Sales].[Customer ID].[All]" allUniqueName="[Raw_Sales].[Customer ID].[All]" dimensionUniqueName="[Raw_Sales]" displayFolder="" count="0" memberValueDatatype="130" unbalanced="0"/>
    <cacheHierarchy uniqueName="[Raw_Sales].[Product ID]" caption="Product ID" attribute="1" defaultMemberUniqueName="[Raw_Sales].[Product ID].[All]" allUniqueName="[Raw_Sales].[Product ID].[All]" dimensionUniqueName="[Raw_Sales]" displayFolder="" count="0" memberValueDatatype="130" unbalanced="0"/>
    <cacheHierarchy uniqueName="[Raw_Sales].[Product]" caption="Product" attribute="1" defaultMemberUniqueName="[Raw_Sales].[Product].[All]" allUniqueName="[Raw_Sales].[Product].[All]" dimensionUniqueName="[Raw_Sales]" displayFolder="" count="0" memberValueDatatype="130" unbalanced="0"/>
    <cacheHierarchy uniqueName="[Raw_Sales].[Category]" caption="Category" attribute="1" defaultMemberUniqueName="[Raw_Sales].[Category].[All]" allUniqueName="[Raw_Sales].[Category].[All]" dimensionUniqueName="[Raw_Sales]" displayFolder="" count="0" memberValueDatatype="130" unbalanced="0"/>
    <cacheHierarchy uniqueName="[Raw_Sales].[Quantity]" caption="Quantity" attribute="1" defaultMemberUniqueName="[Raw_Sales].[Quantity].[All]" allUniqueName="[Raw_Sales].[Quantity].[All]" dimensionUniqueName="[Raw_Sales]" displayFolder="" count="0" memberValueDatatype="20" unbalanced="0"/>
    <cacheHierarchy uniqueName="[Raw_Sales].[Unit Price]" caption="Unit Price" attribute="1" defaultMemberUniqueName="[Raw_Sales].[Unit Price].[All]" allUniqueName="[Raw_Sales].[Unit Price].[All]" dimensionUniqueName="[Raw_Sales]" displayFolder="" count="0" memberValueDatatype="20" unbalanced="0"/>
    <cacheHierarchy uniqueName="[Raw_Sales].[Discount]" caption="Discount" attribute="1" defaultMemberUniqueName="[Raw_Sales].[Discount].[All]" allUniqueName="[Raw_Sales].[Discount].[All]" dimensionUniqueName="[Raw_Sales]" displayFolder="" count="0" memberValueDatatype="5" unbalanced="0"/>
    <cacheHierarchy uniqueName="[Raw_Sales].[Gross Sales]" caption="Gross Sales" attribute="1" defaultMemberUniqueName="[Raw_Sales].[Gross Sales].[All]" allUniqueName="[Raw_Sales].[Gross Sales].[All]" dimensionUniqueName="[Raw_Sales]" displayFolder="" count="0" memberValueDatatype="5" unbalanced="0"/>
    <cacheHierarchy uniqueName="[Raw_Sales].[COst of Goods]" caption="COst of Goods" attribute="1" defaultMemberUniqueName="[Raw_Sales].[COst of Goods].[All]" allUniqueName="[Raw_Sales].[COst of Goods].[All]" dimensionUniqueName="[Raw_Sales]" displayFolder="" count="0" memberValueDatatype="20" unbalanced="0"/>
    <cacheHierarchy uniqueName="[Raw_Sales].[Gross Profit]" caption="Gross Profit" attribute="1" defaultMemberUniqueName="[Raw_Sales].[Gross Profit].[All]" allUniqueName="[Raw_Sales].[Gross Profit].[All]" dimensionUniqueName="[Raw_Sales]" displayFolder="" count="0" memberValueDatatype="5" unbalanced="0"/>
    <cacheHierarchy uniqueName="[Raw_Sales].[Salesperson]" caption="Salesperson" attribute="1" defaultMemberUniqueName="[Raw_Sales].[Salesperson].[All]" allUniqueName="[Raw_Sales].[Salesperson].[All]" dimensionUniqueName="[Raw_Sales]" displayFolder="" count="0" memberValueDatatype="130" unbalanced="0"/>
    <cacheHierarchy uniqueName="[Raw_Sales].[Store]" caption="Store" attribute="1" defaultMemberUniqueName="[Raw_Sales].[Store].[All]" allUniqueName="[Raw_Sales].[Store].[All]" dimensionUniqueName="[Raw_Sales]" displayFolder="" count="0" memberValueDatatype="130" unbalanced="0"/>
    <cacheHierarchy uniqueName="[Raw_Sales].[City]" caption="City" attribute="1" defaultMemberUniqueName="[Raw_Sales].[City].[All]" allUniqueName="[Raw_Sales].[City].[All]" dimensionUniqueName="[Raw_Sales]" displayFolder="" count="0" memberValueDatatype="130" unbalanced="0"/>
    <cacheHierarchy uniqueName="[Raw_Sales].[Payment Method]" caption="Payment Method" attribute="1" defaultMemberUniqueName="[Raw_Sales].[Payment Method].[All]" allUniqueName="[Raw_Sales].[Payment Method].[All]" dimensionUniqueName="[Raw_Sales]" displayFolder="" count="0" memberValueDatatype="130" unbalanced="0"/>
    <cacheHierarchy uniqueName="[Raw_Sales].[Grossprofit]" caption="Grossprofit" attribute="1" defaultMemberUniqueName="[Raw_Sales].[Grossprofit].[All]" allUniqueName="[Raw_Sales].[Grossprofit].[All]" dimensionUniqueName="[Raw_Sales]" displayFolder="" count="0" memberValueDatatype="5" unbalanced="0"/>
    <cacheHierarchy uniqueName="[Raw_Sales].[Custom]" caption="Custom" attribute="1" defaultMemberUniqueName="[Raw_Sales].[Custom].[All]" allUniqueName="[Raw_Sales].[Custom].[All]" dimensionUniqueName="[Raw_Sales]" displayFolder="" count="0" memberValueDatatype="5" unbalanced="0"/>
    <cacheHierarchy uniqueName="[Table7].[Customer ID]" caption="Customer ID" attribute="1" defaultMemberUniqueName="[Table7].[Customer ID].[All]" allUniqueName="[Table7].[Customer ID].[All]" dimensionUniqueName="[Table7]" displayFolder="" count="0" memberValueDatatype="130" unbalanced="0"/>
    <cacheHierarchy uniqueName="[Table7].[Customer Name]" caption="Customer Name" attribute="1" defaultMemberUniqueName="[Table7].[Customer Name].[All]" allUniqueName="[Table7].[Customer Name].[All]" dimensionUniqueName="[Table7]" displayFolder="" count="0" memberValueDatatype="130" unbalanced="0"/>
    <cacheHierarchy uniqueName="[Table7].[City]" caption="City" attribute="1" defaultMemberUniqueName="[Table7].[City].[All]" allUniqueName="[Table7].[City].[All]" dimensionUniqueName="[Table7]" displayFolder="" count="0" memberValueDatatype="130" unbalanced="0"/>
    <cacheHierarchy uniqueName="[Measures].[Sum of Gross Sales]" caption="Sum of Gross Sales" measure="1" displayFolder="" measureGroup="Raw_Sale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Gross Profit]" caption="Sum of Gross Profit" measure="1" displayFolder="" measureGroup="Raw_Sale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Payment Method]" caption="Count of Payment Method" measure="1" displayFolder="" measureGroup="Raw_Sales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]" caption="Sum of Custom" measure="1" displayFolder="" measureGroup="Raw_Sale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Custom]" caption="Count of Custom" measure="1" displayFolder="" measureGroup="Raw_Sale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Custom]" caption="Average of Custom" measure="1" displayFolder="" measureGroup="Raw_Sale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total gross profit]" caption="total gross profit" measure="1" displayFolder="" measureGroup="Raw_Sales" count="0"/>
    <cacheHierarchy uniqueName="[Measures].[total sales revenue]" caption="total sales revenue" measure="1" displayFolder="" measureGroup="Raw_Sales" count="0"/>
    <cacheHierarchy uniqueName="[Measures].[Measure 1]" caption="Measure 1" measure="1" displayFolder="" measureGroup="Raw_Sales" count="0"/>
    <cacheHierarchy uniqueName="[Measures].[Quntity of invice]" caption="Quntity of invice" measure="1" displayFolder="" measureGroup="Raw_Sales" count="0"/>
    <cacheHierarchy uniqueName="[Measures].[avg order value]" caption="avg order value" measure="1" displayFolder="" measureGroup="Raw_Sales" count="0"/>
    <cacheHierarchy uniqueName="[Measures].[Copy of avg order value]" caption="Copy of avg order value" measure="1" displayFolder="" measureGroup="Raw_Sales" count="0"/>
    <cacheHierarchy uniqueName="[Measures].[Copy of Quntity of invice]" caption="Copy of Quntity of invice" measure="1" displayFolder="" measureGroup="Raw_Sales" count="0"/>
    <cacheHierarchy uniqueName="[Measures].[Copy of total sales revenue]" caption="Copy of total sales revenue" measure="1" displayFolder="" measureGroup="Raw_Sales" count="0"/>
    <cacheHierarchy uniqueName="[Measures].[TOTAL QUANTITY SOLD]" caption="TOTAL QUANTITY SOLD" measure="1" displayFolder="" measureGroup="Raw_Sales" count="0"/>
    <cacheHierarchy uniqueName="[Measures].[__XL_Count Raw_Sales]" caption="__XL_Count Raw_Sales" measure="1" displayFolder="" measureGroup="Raw_Sales" count="0" hidden="1"/>
    <cacheHierarchy uniqueName="[Measures].[__XL_Count Purchases]" caption="__XL_Count Purchases" measure="1" displayFolder="" measureGroup="Purchases" count="0" hidden="1"/>
    <cacheHierarchy uniqueName="[Measures].[__XL_Count Expenses]" caption="__XL_Count Expenses" measure="1" displayFolder="" measureGroup="Expenses" count="0" hidden="1"/>
    <cacheHierarchy uniqueName="[Measures].[__XL_Count Customers]" caption="__XL_Count Customers" measure="1" displayFolder="" measureGroup="Customers" count="0" hidden="1"/>
    <cacheHierarchy uniqueName="[Measures].[__XL_Count Manager_Questions]" caption="__XL_Count Manager_Questions" measure="1" displayFolder="" measureGroup="Manager_Questions" count="0" hidden="1"/>
    <cacheHierarchy uniqueName="[Measures].[__XL_Count Table7]" caption="__XL_Count Table7" measure="1" displayFolder="" measureGroup="Table7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Expenses" uniqueName="[Expenses]" caption="Expenses"/>
    <dimension name="Manager_Questions" uniqueName="[Manager_Questions]" caption="Manager_Questions"/>
    <dimension measure="1" name="Measures" uniqueName="[Measures]" caption="Measures"/>
    <dimension name="Purchases" uniqueName="[Purchases]" caption="Purchases"/>
    <dimension name="Raw_Sales" uniqueName="[Raw_Sales]" caption="Raw_Sales"/>
    <dimension name="Table7" uniqueName="[Table7]" caption="Table7"/>
  </dimensions>
  <measureGroups count="6">
    <measureGroup name="Customers" caption="Customers"/>
    <measureGroup name="Expenses" caption="Expenses"/>
    <measureGroup name="Manager_Questions" caption="Manager_Questions"/>
    <measureGroup name="Purchases" caption="Purchases"/>
    <measureGroup name="Raw_Sales" caption="Raw_Sales"/>
    <measureGroup name="Table7" caption="Table7"/>
  </measureGroups>
  <maps count="7">
    <map measureGroup="0" dimension="0"/>
    <map measureGroup="1" dimension="1"/>
    <map measureGroup="2" dimension="2"/>
    <map measureGroup="3" dimension="4"/>
    <map measureGroup="4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aris patel" refreshedDate="46270.652402546293" backgroundQuery="1" createdVersion="8" refreshedVersion="8" minRefreshableVersion="3" recordCount="0" supportSubquery="1" supportAdvancedDrill="1" xr:uid="{7D061AEA-4020-42E0-8375-9440D45F3E11}">
  <cacheSource type="external" connectionId="6"/>
  <cacheFields count="3">
    <cacheField name="[Raw_Sales].[Month Name].[Month Name]" caption="Month Name" numFmtId="0" hierarchy="21" level="1">
      <sharedItems count="8">
        <s v="April"/>
        <s v="August"/>
        <s v="February"/>
        <s v="January"/>
        <s v="July"/>
        <s v="June"/>
        <s v="March"/>
        <s v="May"/>
      </sharedItems>
    </cacheField>
    <cacheField name="[Raw_Sales].[Payment Method].[Payment Method]" caption="Payment Method" numFmtId="0" hierarchy="35" level="1">
      <sharedItems count="4">
        <s v="Card"/>
        <s v="Cash"/>
        <s v="Credit"/>
        <s v="UPI"/>
      </sharedItems>
    </cacheField>
    <cacheField name="[Measures].[Count of Payment Method]" caption="Count of Payment Method" numFmtId="0" hierarchy="43" level="32767"/>
  </cacheFields>
  <cacheHierarchies count="63">
    <cacheHierarchy uniqueName="[Customers].[Column1]" caption="Column1" attribute="1" defaultMemberUniqueName="[Customers].[Column1].[All]" allUniqueName="[Customers].[Column1].[All]" dimensionUniqueName="[Customers]" displayFolder="" count="0" memberValueDatatype="130" unbalanced="0"/>
    <cacheHierarchy uniqueName="[Customers].[Column2]" caption="Column2" attribute="1" defaultMemberUniqueName="[Customers].[Column2].[All]" allUniqueName="[Customers].[Column2].[All]" dimensionUniqueName="[Customers]" displayFolder="" count="0" memberValueDatatype="130" unbalanced="0"/>
    <cacheHierarchy uniqueName="[Customers].[Column3]" caption="Column3" attribute="1" defaultMemberUniqueName="[Customers].[Column3].[All]" allUniqueName="[Customers].[Column3].[All]" dimensionUniqueName="[Customers]" displayFolder="" count="0" memberValueDatatype="130" unbalanced="0"/>
    <cacheHierarchy uniqueName="[Expenses].[Expense ID]" caption="Expense ID" attribute="1" defaultMemberUniqueName="[Expenses].[Expense ID].[All]" allUniqueName="[Expenses].[Expense ID].[All]" dimensionUniqueName="[Expenses]" displayFolder="" count="0" memberValueDatatype="130" unbalanced="0"/>
    <cacheHierarchy uniqueName="[Expenses].[Date]" caption="Date" attribute="1" time="1" defaultMemberUniqueName="[Expenses].[Date].[All]" allUniqueName="[Expenses].[Date].[All]" dimensionUniqueName="[Expenses]" displayFolder="" count="0" memberValueDatatype="7" unbalanced="0"/>
    <cacheHierarchy uniqueName="[Expenses].[Expense Category]" caption="Expense Category" attribute="1" defaultMemberUniqueName="[Expenses].[Expense Category].[All]" allUniqueName="[Expenses].[Expense Category].[All]" dimensionUniqueName="[Expenses]" displayFolder="" count="0" memberValueDatatype="130" unbalanced="0"/>
    <cacheHierarchy uniqueName="[Expenses].[Amount]" caption="Amount" attribute="1" defaultMemberUniqueName="[Expenses].[Amount].[All]" allUniqueName="[Expenses].[Amount].[All]" dimensionUniqueName="[Expenses]" displayFolder="" count="0" memberValueDatatype="20" unbalanced="0"/>
    <cacheHierarchy uniqueName="[Expenses].[Store]" caption="Store" attribute="1" defaultMemberUniqueName="[Expenses].[Store].[All]" allUniqueName="[Expenses].[Store].[All]" dimensionUniqueName="[Expenses]" displayFolder="" count="0" memberValueDatatype="130" unbalanced="0"/>
    <cacheHierarchy uniqueName="[Manager_Questions].[No]" caption="No" attribute="1" defaultMemberUniqueName="[Manager_Questions].[No].[All]" allUniqueName="[Manager_Questions].[No].[All]" dimensionUniqueName="[Manager_Questions]" displayFolder="" count="0" memberValueDatatype="20" unbalanced="0"/>
    <cacheHierarchy uniqueName="[Manager_Questions].[Manager Question]" caption="Manager Question" attribute="1" defaultMemberUniqueName="[Manager_Questions].[Manager Question].[All]" allUniqueName="[Manager_Questions].[Manager Question].[All]" dimensionUniqueName="[Manager_Questions]" displayFolder="" count="0" memberValueDatatype="130" unbalanced="0"/>
    <cacheHierarchy uniqueName="[Purchases].[Purchase ID]" caption="Purchase ID" attribute="1" defaultMemberUniqueName="[Purchases].[Purchase ID].[All]" allUniqueName="[Purchases].[Purchase ID].[All]" dimensionUniqueName="[Purchases]" displayFolder="" count="0" memberValueDatatype="130" unbalanced="0"/>
    <cacheHierarchy uniqueName="[Purchases].[Date]" caption="Date" attribute="1" time="1" defaultMemberUniqueName="[Purchases].[Date].[All]" allUniqueName="[Purchases].[Date].[All]" dimensionUniqueName="[Purchases]" displayFolder="" count="0" memberValueDatatype="7" unbalanced="0"/>
    <cacheHierarchy uniqueName="[Purchases].[Product ID]" caption="Product ID" attribute="1" defaultMemberUniqueName="[Purchases].[Product ID].[All]" allUniqueName="[Purchases].[Product ID].[All]" dimensionUniqueName="[Purchases]" displayFolder="" count="0" memberValueDatatype="130" unbalanced="0"/>
    <cacheHierarchy uniqueName="[Purchases].[Product]" caption="Product" attribute="1" defaultMemberUniqueName="[Purchases].[Product].[All]" allUniqueName="[Purchases].[Product].[All]" dimensionUniqueName="[Purchases]" displayFolder="" count="0" memberValueDatatype="130" unbalanced="0"/>
    <cacheHierarchy uniqueName="[Purchases].[Category]" caption="Category" attribute="1" defaultMemberUniqueName="[Purchases].[Category].[All]" allUniqueName="[Purchases].[Category].[All]" dimensionUniqueName="[Purchases]" displayFolder="" count="0" memberValueDatatype="130" unbalanced="0"/>
    <cacheHierarchy uniqueName="[Purchases].[Quantity]" caption="Quantity" attribute="1" defaultMemberUniqueName="[Purchases].[Quantity].[All]" allUniqueName="[Purchases].[Quantity].[All]" dimensionUniqueName="[Purchases]" displayFolder="" count="0" memberValueDatatype="20" unbalanced="0"/>
    <cacheHierarchy uniqueName="[Purchases].[Unit Cost]" caption="Unit Cost" attribute="1" defaultMemberUniqueName="[Purchases].[Unit Cost].[All]" allUniqueName="[Purchases].[Unit Cost].[All]" dimensionUniqueName="[Purchases]" displayFolder="" count="0" memberValueDatatype="5" unbalanced="0"/>
    <cacheHierarchy uniqueName="[Purchases].[Purchase Amount]" caption="Purchase Amount" attribute="1" defaultMemberUniqueName="[Purchases].[Purchase Amount].[All]" allUniqueName="[Purchases].[Purchase Amount].[All]" dimensionUniqueName="[Purchases]" displayFolder="" count="0" memberValueDatatype="5" unbalanced="0"/>
    <cacheHierarchy uniqueName="[Purchases].[Supplier]" caption="Supplier" attribute="1" defaultMemberUniqueName="[Purchases].[Supplier].[All]" allUniqueName="[Purchases].[Supplier].[All]" dimensionUniqueName="[Purchases]" displayFolder="" count="0" memberValueDatatype="130" unbalanced="0"/>
    <cacheHierarchy uniqueName="[Raw_Sales].[Invoice ID]" caption="Invoice ID" attribute="1" defaultMemberUniqueName="[Raw_Sales].[Invoice ID].[All]" allUniqueName="[Raw_Sales].[Invoice ID].[All]" dimensionUniqueName="[Raw_Sales]" displayFolder="" count="0" memberValueDatatype="130" unbalanced="0"/>
    <cacheHierarchy uniqueName="[Raw_Sales].[Date]" caption="Date" attribute="1" time="1" defaultMemberUniqueName="[Raw_Sales].[Date].[All]" allUniqueName="[Raw_Sales].[Date].[All]" dimensionUniqueName="[Raw_Sales]" displayFolder="" count="2" memberValueDatatype="7" unbalanced="0"/>
    <cacheHierarchy uniqueName="[Raw_Sales].[Month Name]" caption="Month Name" attribute="1" defaultMemberUniqueName="[Raw_Sales].[Month Name].[All]" allUniqueName="[Raw_Sales].[Month Name].[All]" dimensionUniqueName="[Raw_Sales]" displayFolder="" count="2" memberValueDatatype="130" unbalanced="0">
      <fieldsUsage count="2">
        <fieldUsage x="-1"/>
        <fieldUsage x="0"/>
      </fieldsUsage>
    </cacheHierarchy>
    <cacheHierarchy uniqueName="[Raw_Sales].[Customer ID]" caption="Customer ID" attribute="1" defaultMemberUniqueName="[Raw_Sales].[Customer ID].[All]" allUniqueName="[Raw_Sales].[Customer ID].[All]" dimensionUniqueName="[Raw_Sales]" displayFolder="" count="0" memberValueDatatype="130" unbalanced="0"/>
    <cacheHierarchy uniqueName="[Raw_Sales].[Product ID]" caption="Product ID" attribute="1" defaultMemberUniqueName="[Raw_Sales].[Product ID].[All]" allUniqueName="[Raw_Sales].[Product ID].[All]" dimensionUniqueName="[Raw_Sales]" displayFolder="" count="0" memberValueDatatype="130" unbalanced="0"/>
    <cacheHierarchy uniqueName="[Raw_Sales].[Product]" caption="Product" attribute="1" defaultMemberUniqueName="[Raw_Sales].[Product].[All]" allUniqueName="[Raw_Sales].[Product].[All]" dimensionUniqueName="[Raw_Sales]" displayFolder="" count="0" memberValueDatatype="130" unbalanced="0"/>
    <cacheHierarchy uniqueName="[Raw_Sales].[Category]" caption="Category" attribute="1" defaultMemberUniqueName="[Raw_Sales].[Category].[All]" allUniqueName="[Raw_Sales].[Category].[All]" dimensionUniqueName="[Raw_Sales]" displayFolder="" count="0" memberValueDatatype="130" unbalanced="0"/>
    <cacheHierarchy uniqueName="[Raw_Sales].[Quantity]" caption="Quantity" attribute="1" defaultMemberUniqueName="[Raw_Sales].[Quantity].[All]" allUniqueName="[Raw_Sales].[Quantity].[All]" dimensionUniqueName="[Raw_Sales]" displayFolder="" count="0" memberValueDatatype="20" unbalanced="0"/>
    <cacheHierarchy uniqueName="[Raw_Sales].[Unit Price]" caption="Unit Price" attribute="1" defaultMemberUniqueName="[Raw_Sales].[Unit Price].[All]" allUniqueName="[Raw_Sales].[Unit Price].[All]" dimensionUniqueName="[Raw_Sales]" displayFolder="" count="0" memberValueDatatype="20" unbalanced="0"/>
    <cacheHierarchy uniqueName="[Raw_Sales].[Discount]" caption="Discount" attribute="1" defaultMemberUniqueName="[Raw_Sales].[Discount].[All]" allUniqueName="[Raw_Sales].[Discount].[All]" dimensionUniqueName="[Raw_Sales]" displayFolder="" count="0" memberValueDatatype="5" unbalanced="0"/>
    <cacheHierarchy uniqueName="[Raw_Sales].[Gross Sales]" caption="Gross Sales" attribute="1" defaultMemberUniqueName="[Raw_Sales].[Gross Sales].[All]" allUniqueName="[Raw_Sales].[Gross Sales].[All]" dimensionUniqueName="[Raw_Sales]" displayFolder="" count="0" memberValueDatatype="5" unbalanced="0"/>
    <cacheHierarchy uniqueName="[Raw_Sales].[COst of Goods]" caption="COst of Goods" attribute="1" defaultMemberUniqueName="[Raw_Sales].[COst of Goods].[All]" allUniqueName="[Raw_Sales].[COst of Goods].[All]" dimensionUniqueName="[Raw_Sales]" displayFolder="" count="0" memberValueDatatype="20" unbalanced="0"/>
    <cacheHierarchy uniqueName="[Raw_Sales].[Gross Profit]" caption="Gross Profit" attribute="1" defaultMemberUniqueName="[Raw_Sales].[Gross Profit].[All]" allUniqueName="[Raw_Sales].[Gross Profit].[All]" dimensionUniqueName="[Raw_Sales]" displayFolder="" count="0" memberValueDatatype="5" unbalanced="0"/>
    <cacheHierarchy uniqueName="[Raw_Sales].[Salesperson]" caption="Salesperson" attribute="1" defaultMemberUniqueName="[Raw_Sales].[Salesperson].[All]" allUniqueName="[Raw_Sales].[Salesperson].[All]" dimensionUniqueName="[Raw_Sales]" displayFolder="" count="0" memberValueDatatype="130" unbalanced="0"/>
    <cacheHierarchy uniqueName="[Raw_Sales].[Store]" caption="Store" attribute="1" defaultMemberUniqueName="[Raw_Sales].[Store].[All]" allUniqueName="[Raw_Sales].[Store].[All]" dimensionUniqueName="[Raw_Sales]" displayFolder="" count="0" memberValueDatatype="130" unbalanced="0"/>
    <cacheHierarchy uniqueName="[Raw_Sales].[City]" caption="City" attribute="1" defaultMemberUniqueName="[Raw_Sales].[City].[All]" allUniqueName="[Raw_Sales].[City].[All]" dimensionUniqueName="[Raw_Sales]" displayFolder="" count="0" memberValueDatatype="130" unbalanced="0"/>
    <cacheHierarchy uniqueName="[Raw_Sales].[Payment Method]" caption="Payment Method" attribute="1" defaultMemberUniqueName="[Raw_Sales].[Payment Method].[All]" allUniqueName="[Raw_Sales].[Payment Method].[All]" dimensionUniqueName="[Raw_Sales]" displayFolder="" count="2" memberValueDatatype="130" unbalanced="0">
      <fieldsUsage count="2">
        <fieldUsage x="-1"/>
        <fieldUsage x="1"/>
      </fieldsUsage>
    </cacheHierarchy>
    <cacheHierarchy uniqueName="[Raw_Sales].[Grossprofit]" caption="Grossprofit" attribute="1" defaultMemberUniqueName="[Raw_Sales].[Grossprofit].[All]" allUniqueName="[Raw_Sales].[Grossprofit].[All]" dimensionUniqueName="[Raw_Sales]" displayFolder="" count="0" memberValueDatatype="5" unbalanced="0"/>
    <cacheHierarchy uniqueName="[Raw_Sales].[Custom]" caption="Custom" attribute="1" defaultMemberUniqueName="[Raw_Sales].[Custom].[All]" allUniqueName="[Raw_Sales].[Custom].[All]" dimensionUniqueName="[Raw_Sales]" displayFolder="" count="0" memberValueDatatype="5" unbalanced="0"/>
    <cacheHierarchy uniqueName="[Table7].[Customer ID]" caption="Customer ID" attribute="1" defaultMemberUniqueName="[Table7].[Customer ID].[All]" allUniqueName="[Table7].[Customer ID].[All]" dimensionUniqueName="[Table7]" displayFolder="" count="0" memberValueDatatype="130" unbalanced="0"/>
    <cacheHierarchy uniqueName="[Table7].[Customer Name]" caption="Customer Name" attribute="1" defaultMemberUniqueName="[Table7].[Customer Name].[All]" allUniqueName="[Table7].[Customer Name].[All]" dimensionUniqueName="[Table7]" displayFolder="" count="0" memberValueDatatype="130" unbalanced="0"/>
    <cacheHierarchy uniqueName="[Table7].[City]" caption="City" attribute="1" defaultMemberUniqueName="[Table7].[City].[All]" allUniqueName="[Table7].[City].[All]" dimensionUniqueName="[Table7]" displayFolder="" count="0" memberValueDatatype="130" unbalanced="0"/>
    <cacheHierarchy uniqueName="[Measures].[Sum of Gross Sales]" caption="Sum of Gross Sales" measure="1" displayFolder="" measureGroup="Raw_Sale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Gross Profit]" caption="Sum of Gross Profit" measure="1" displayFolder="" measureGroup="Raw_Sale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Payment Method]" caption="Count of Payment Method" measure="1" displayFolder="" measureGroup="Raw_Sale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]" caption="Sum of Custom" measure="1" displayFolder="" measureGroup="Raw_Sale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Custom]" caption="Count of Custom" measure="1" displayFolder="" measureGroup="Raw_Sale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Custom]" caption="Average of Custom" measure="1" displayFolder="" measureGroup="Raw_Sale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total gross profit]" caption="total gross profit" measure="1" displayFolder="" measureGroup="Raw_Sales" count="0"/>
    <cacheHierarchy uniqueName="[Measures].[total sales revenue]" caption="total sales revenue" measure="1" displayFolder="" measureGroup="Raw_Sales" count="0"/>
    <cacheHierarchy uniqueName="[Measures].[Measure 1]" caption="Measure 1" measure="1" displayFolder="" measureGroup="Raw_Sales" count="0"/>
    <cacheHierarchy uniqueName="[Measures].[Quntity of invice]" caption="Quntity of invice" measure="1" displayFolder="" measureGroup="Raw_Sales" count="0"/>
    <cacheHierarchy uniqueName="[Measures].[avg order value]" caption="avg order value" measure="1" displayFolder="" measureGroup="Raw_Sales" count="0"/>
    <cacheHierarchy uniqueName="[Measures].[Copy of avg order value]" caption="Copy of avg order value" measure="1" displayFolder="" measureGroup="Raw_Sales" count="0"/>
    <cacheHierarchy uniqueName="[Measures].[Copy of Quntity of invice]" caption="Copy of Quntity of invice" measure="1" displayFolder="" measureGroup="Raw_Sales" count="0"/>
    <cacheHierarchy uniqueName="[Measures].[Copy of total sales revenue]" caption="Copy of total sales revenue" measure="1" displayFolder="" measureGroup="Raw_Sales" count="0"/>
    <cacheHierarchy uniqueName="[Measures].[TOTAL QUANTITY SOLD]" caption="TOTAL QUANTITY SOLD" measure="1" displayFolder="" measureGroup="Raw_Sales" count="0"/>
    <cacheHierarchy uniqueName="[Measures].[__XL_Count Raw_Sales]" caption="__XL_Count Raw_Sales" measure="1" displayFolder="" measureGroup="Raw_Sales" count="0" hidden="1"/>
    <cacheHierarchy uniqueName="[Measures].[__XL_Count Purchases]" caption="__XL_Count Purchases" measure="1" displayFolder="" measureGroup="Purchases" count="0" hidden="1"/>
    <cacheHierarchy uniqueName="[Measures].[__XL_Count Expenses]" caption="__XL_Count Expenses" measure="1" displayFolder="" measureGroup="Expenses" count="0" hidden="1"/>
    <cacheHierarchy uniqueName="[Measures].[__XL_Count Customers]" caption="__XL_Count Customers" measure="1" displayFolder="" measureGroup="Customers" count="0" hidden="1"/>
    <cacheHierarchy uniqueName="[Measures].[__XL_Count Manager_Questions]" caption="__XL_Count Manager_Questions" measure="1" displayFolder="" measureGroup="Manager_Questions" count="0" hidden="1"/>
    <cacheHierarchy uniqueName="[Measures].[__XL_Count Table7]" caption="__XL_Count Table7" measure="1" displayFolder="" measureGroup="Table7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Expenses" uniqueName="[Expenses]" caption="Expenses"/>
    <dimension name="Manager_Questions" uniqueName="[Manager_Questions]" caption="Manager_Questions"/>
    <dimension measure="1" name="Measures" uniqueName="[Measures]" caption="Measures"/>
    <dimension name="Purchases" uniqueName="[Purchases]" caption="Purchases"/>
    <dimension name="Raw_Sales" uniqueName="[Raw_Sales]" caption="Raw_Sales"/>
    <dimension name="Table7" uniqueName="[Table7]" caption="Table7"/>
  </dimensions>
  <measureGroups count="6">
    <measureGroup name="Customers" caption="Customers"/>
    <measureGroup name="Expenses" caption="Expenses"/>
    <measureGroup name="Manager_Questions" caption="Manager_Questions"/>
    <measureGroup name="Purchases" caption="Purchases"/>
    <measureGroup name="Raw_Sales" caption="Raw_Sales"/>
    <measureGroup name="Table7" caption="Table7"/>
  </measureGroups>
  <maps count="7">
    <map measureGroup="0" dimension="0"/>
    <map measureGroup="1" dimension="1"/>
    <map measureGroup="2" dimension="2"/>
    <map measureGroup="3" dimension="4"/>
    <map measureGroup="4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aris patel" refreshedDate="46270.652404050925" backgroundQuery="1" createdVersion="8" refreshedVersion="8" minRefreshableVersion="3" recordCount="0" supportSubquery="1" supportAdvancedDrill="1" xr:uid="{EFAAC835-4785-4B31-BE99-5B7C50FD2DFC}">
  <cacheSource type="external" connectionId="6"/>
  <cacheFields count="3">
    <cacheField name="[Raw_Sales].[Month Name].[Month Name]" caption="Month Name" numFmtId="0" hierarchy="21" level="1">
      <sharedItems count="8">
        <s v="April"/>
        <s v="August"/>
        <s v="February"/>
        <s v="January"/>
        <s v="July"/>
        <s v="June"/>
        <s v="March"/>
        <s v="May"/>
      </sharedItems>
    </cacheField>
    <cacheField name="[Raw_Sales].[Payment Method].[Payment Method]" caption="Payment Method" numFmtId="0" hierarchy="35" level="1">
      <sharedItems count="1">
        <s v="UPI"/>
      </sharedItems>
    </cacheField>
    <cacheField name="[Measures].[Count of Payment Method]" caption="Count of Payment Method" numFmtId="0" hierarchy="43" level="32767"/>
  </cacheFields>
  <cacheHierarchies count="63">
    <cacheHierarchy uniqueName="[Customers].[Column1]" caption="Column1" attribute="1" defaultMemberUniqueName="[Customers].[Column1].[All]" allUniqueName="[Customers].[Column1].[All]" dimensionUniqueName="[Customers]" displayFolder="" count="0" memberValueDatatype="130" unbalanced="0"/>
    <cacheHierarchy uniqueName="[Customers].[Column2]" caption="Column2" attribute="1" defaultMemberUniqueName="[Customers].[Column2].[All]" allUniqueName="[Customers].[Column2].[All]" dimensionUniqueName="[Customers]" displayFolder="" count="0" memberValueDatatype="130" unbalanced="0"/>
    <cacheHierarchy uniqueName="[Customers].[Column3]" caption="Column3" attribute="1" defaultMemberUniqueName="[Customers].[Column3].[All]" allUniqueName="[Customers].[Column3].[All]" dimensionUniqueName="[Customers]" displayFolder="" count="0" memberValueDatatype="130" unbalanced="0"/>
    <cacheHierarchy uniqueName="[Expenses].[Expense ID]" caption="Expense ID" attribute="1" defaultMemberUniqueName="[Expenses].[Expense ID].[All]" allUniqueName="[Expenses].[Expense ID].[All]" dimensionUniqueName="[Expenses]" displayFolder="" count="0" memberValueDatatype="130" unbalanced="0"/>
    <cacheHierarchy uniqueName="[Expenses].[Date]" caption="Date" attribute="1" time="1" defaultMemberUniqueName="[Expenses].[Date].[All]" allUniqueName="[Expenses].[Date].[All]" dimensionUniqueName="[Expenses]" displayFolder="" count="0" memberValueDatatype="7" unbalanced="0"/>
    <cacheHierarchy uniqueName="[Expenses].[Expense Category]" caption="Expense Category" attribute="1" defaultMemberUniqueName="[Expenses].[Expense Category].[All]" allUniqueName="[Expenses].[Expense Category].[All]" dimensionUniqueName="[Expenses]" displayFolder="" count="0" memberValueDatatype="130" unbalanced="0"/>
    <cacheHierarchy uniqueName="[Expenses].[Amount]" caption="Amount" attribute="1" defaultMemberUniqueName="[Expenses].[Amount].[All]" allUniqueName="[Expenses].[Amount].[All]" dimensionUniqueName="[Expenses]" displayFolder="" count="0" memberValueDatatype="20" unbalanced="0"/>
    <cacheHierarchy uniqueName="[Expenses].[Store]" caption="Store" attribute="1" defaultMemberUniqueName="[Expenses].[Store].[All]" allUniqueName="[Expenses].[Store].[All]" dimensionUniqueName="[Expenses]" displayFolder="" count="0" memberValueDatatype="130" unbalanced="0"/>
    <cacheHierarchy uniqueName="[Manager_Questions].[No]" caption="No" attribute="1" defaultMemberUniqueName="[Manager_Questions].[No].[All]" allUniqueName="[Manager_Questions].[No].[All]" dimensionUniqueName="[Manager_Questions]" displayFolder="" count="0" memberValueDatatype="20" unbalanced="0"/>
    <cacheHierarchy uniqueName="[Manager_Questions].[Manager Question]" caption="Manager Question" attribute="1" defaultMemberUniqueName="[Manager_Questions].[Manager Question].[All]" allUniqueName="[Manager_Questions].[Manager Question].[All]" dimensionUniqueName="[Manager_Questions]" displayFolder="" count="0" memberValueDatatype="130" unbalanced="0"/>
    <cacheHierarchy uniqueName="[Purchases].[Purchase ID]" caption="Purchase ID" attribute="1" defaultMemberUniqueName="[Purchases].[Purchase ID].[All]" allUniqueName="[Purchases].[Purchase ID].[All]" dimensionUniqueName="[Purchases]" displayFolder="" count="0" memberValueDatatype="130" unbalanced="0"/>
    <cacheHierarchy uniqueName="[Purchases].[Date]" caption="Date" attribute="1" time="1" defaultMemberUniqueName="[Purchases].[Date].[All]" allUniqueName="[Purchases].[Date].[All]" dimensionUniqueName="[Purchases]" displayFolder="" count="0" memberValueDatatype="7" unbalanced="0"/>
    <cacheHierarchy uniqueName="[Purchases].[Product ID]" caption="Product ID" attribute="1" defaultMemberUniqueName="[Purchases].[Product ID].[All]" allUniqueName="[Purchases].[Product ID].[All]" dimensionUniqueName="[Purchases]" displayFolder="" count="0" memberValueDatatype="130" unbalanced="0"/>
    <cacheHierarchy uniqueName="[Purchases].[Product]" caption="Product" attribute="1" defaultMemberUniqueName="[Purchases].[Product].[All]" allUniqueName="[Purchases].[Product].[All]" dimensionUniqueName="[Purchases]" displayFolder="" count="0" memberValueDatatype="130" unbalanced="0"/>
    <cacheHierarchy uniqueName="[Purchases].[Category]" caption="Category" attribute="1" defaultMemberUniqueName="[Purchases].[Category].[All]" allUniqueName="[Purchases].[Category].[All]" dimensionUniqueName="[Purchases]" displayFolder="" count="0" memberValueDatatype="130" unbalanced="0"/>
    <cacheHierarchy uniqueName="[Purchases].[Quantity]" caption="Quantity" attribute="1" defaultMemberUniqueName="[Purchases].[Quantity].[All]" allUniqueName="[Purchases].[Quantity].[All]" dimensionUniqueName="[Purchases]" displayFolder="" count="0" memberValueDatatype="20" unbalanced="0"/>
    <cacheHierarchy uniqueName="[Purchases].[Unit Cost]" caption="Unit Cost" attribute="1" defaultMemberUniqueName="[Purchases].[Unit Cost].[All]" allUniqueName="[Purchases].[Unit Cost].[All]" dimensionUniqueName="[Purchases]" displayFolder="" count="0" memberValueDatatype="5" unbalanced="0"/>
    <cacheHierarchy uniqueName="[Purchases].[Purchase Amount]" caption="Purchase Amount" attribute="1" defaultMemberUniqueName="[Purchases].[Purchase Amount].[All]" allUniqueName="[Purchases].[Purchase Amount].[All]" dimensionUniqueName="[Purchases]" displayFolder="" count="0" memberValueDatatype="5" unbalanced="0"/>
    <cacheHierarchy uniqueName="[Purchases].[Supplier]" caption="Supplier" attribute="1" defaultMemberUniqueName="[Purchases].[Supplier].[All]" allUniqueName="[Purchases].[Supplier].[All]" dimensionUniqueName="[Purchases]" displayFolder="" count="0" memberValueDatatype="130" unbalanced="0"/>
    <cacheHierarchy uniqueName="[Raw_Sales].[Invoice ID]" caption="Invoice ID" attribute="1" defaultMemberUniqueName="[Raw_Sales].[Invoice ID].[All]" allUniqueName="[Raw_Sales].[Invoice ID].[All]" dimensionUniqueName="[Raw_Sales]" displayFolder="" count="0" memberValueDatatype="130" unbalanced="0"/>
    <cacheHierarchy uniqueName="[Raw_Sales].[Date]" caption="Date" attribute="1" time="1" defaultMemberUniqueName="[Raw_Sales].[Date].[All]" allUniqueName="[Raw_Sales].[Date].[All]" dimensionUniqueName="[Raw_Sales]" displayFolder="" count="2" memberValueDatatype="7" unbalanced="0"/>
    <cacheHierarchy uniqueName="[Raw_Sales].[Month Name]" caption="Month Name" attribute="1" defaultMemberUniqueName="[Raw_Sales].[Month Name].[All]" allUniqueName="[Raw_Sales].[Month Name].[All]" dimensionUniqueName="[Raw_Sales]" displayFolder="" count="2" memberValueDatatype="130" unbalanced="0">
      <fieldsUsage count="2">
        <fieldUsage x="-1"/>
        <fieldUsage x="0"/>
      </fieldsUsage>
    </cacheHierarchy>
    <cacheHierarchy uniqueName="[Raw_Sales].[Customer ID]" caption="Customer ID" attribute="1" defaultMemberUniqueName="[Raw_Sales].[Customer ID].[All]" allUniqueName="[Raw_Sales].[Customer ID].[All]" dimensionUniqueName="[Raw_Sales]" displayFolder="" count="0" memberValueDatatype="130" unbalanced="0"/>
    <cacheHierarchy uniqueName="[Raw_Sales].[Product ID]" caption="Product ID" attribute="1" defaultMemberUniqueName="[Raw_Sales].[Product ID].[All]" allUniqueName="[Raw_Sales].[Product ID].[All]" dimensionUniqueName="[Raw_Sales]" displayFolder="" count="0" memberValueDatatype="130" unbalanced="0"/>
    <cacheHierarchy uniqueName="[Raw_Sales].[Product]" caption="Product" attribute="1" defaultMemberUniqueName="[Raw_Sales].[Product].[All]" allUniqueName="[Raw_Sales].[Product].[All]" dimensionUniqueName="[Raw_Sales]" displayFolder="" count="0" memberValueDatatype="130" unbalanced="0"/>
    <cacheHierarchy uniqueName="[Raw_Sales].[Category]" caption="Category" attribute="1" defaultMemberUniqueName="[Raw_Sales].[Category].[All]" allUniqueName="[Raw_Sales].[Category].[All]" dimensionUniqueName="[Raw_Sales]" displayFolder="" count="0" memberValueDatatype="130" unbalanced="0"/>
    <cacheHierarchy uniqueName="[Raw_Sales].[Quantity]" caption="Quantity" attribute="1" defaultMemberUniqueName="[Raw_Sales].[Quantity].[All]" allUniqueName="[Raw_Sales].[Quantity].[All]" dimensionUniqueName="[Raw_Sales]" displayFolder="" count="0" memberValueDatatype="20" unbalanced="0"/>
    <cacheHierarchy uniqueName="[Raw_Sales].[Unit Price]" caption="Unit Price" attribute="1" defaultMemberUniqueName="[Raw_Sales].[Unit Price].[All]" allUniqueName="[Raw_Sales].[Unit Price].[All]" dimensionUniqueName="[Raw_Sales]" displayFolder="" count="0" memberValueDatatype="20" unbalanced="0"/>
    <cacheHierarchy uniqueName="[Raw_Sales].[Discount]" caption="Discount" attribute="1" defaultMemberUniqueName="[Raw_Sales].[Discount].[All]" allUniqueName="[Raw_Sales].[Discount].[All]" dimensionUniqueName="[Raw_Sales]" displayFolder="" count="0" memberValueDatatype="5" unbalanced="0"/>
    <cacheHierarchy uniqueName="[Raw_Sales].[Gross Sales]" caption="Gross Sales" attribute="1" defaultMemberUniqueName="[Raw_Sales].[Gross Sales].[All]" allUniqueName="[Raw_Sales].[Gross Sales].[All]" dimensionUniqueName="[Raw_Sales]" displayFolder="" count="0" memberValueDatatype="5" unbalanced="0"/>
    <cacheHierarchy uniqueName="[Raw_Sales].[COst of Goods]" caption="COst of Goods" attribute="1" defaultMemberUniqueName="[Raw_Sales].[COst of Goods].[All]" allUniqueName="[Raw_Sales].[COst of Goods].[All]" dimensionUniqueName="[Raw_Sales]" displayFolder="" count="0" memberValueDatatype="20" unbalanced="0"/>
    <cacheHierarchy uniqueName="[Raw_Sales].[Gross Profit]" caption="Gross Profit" attribute="1" defaultMemberUniqueName="[Raw_Sales].[Gross Profit].[All]" allUniqueName="[Raw_Sales].[Gross Profit].[All]" dimensionUniqueName="[Raw_Sales]" displayFolder="" count="0" memberValueDatatype="5" unbalanced="0"/>
    <cacheHierarchy uniqueName="[Raw_Sales].[Salesperson]" caption="Salesperson" attribute="1" defaultMemberUniqueName="[Raw_Sales].[Salesperson].[All]" allUniqueName="[Raw_Sales].[Salesperson].[All]" dimensionUniqueName="[Raw_Sales]" displayFolder="" count="0" memberValueDatatype="130" unbalanced="0"/>
    <cacheHierarchy uniqueName="[Raw_Sales].[Store]" caption="Store" attribute="1" defaultMemberUniqueName="[Raw_Sales].[Store].[All]" allUniqueName="[Raw_Sales].[Store].[All]" dimensionUniqueName="[Raw_Sales]" displayFolder="" count="0" memberValueDatatype="130" unbalanced="0"/>
    <cacheHierarchy uniqueName="[Raw_Sales].[City]" caption="City" attribute="1" defaultMemberUniqueName="[Raw_Sales].[City].[All]" allUniqueName="[Raw_Sales].[City].[All]" dimensionUniqueName="[Raw_Sales]" displayFolder="" count="0" memberValueDatatype="130" unbalanced="0"/>
    <cacheHierarchy uniqueName="[Raw_Sales].[Payment Method]" caption="Payment Method" attribute="1" defaultMemberUniqueName="[Raw_Sales].[Payment Method].[All]" allUniqueName="[Raw_Sales].[Payment Method].[All]" dimensionUniqueName="[Raw_Sales]" displayFolder="" count="2" memberValueDatatype="130" unbalanced="0">
      <fieldsUsage count="2">
        <fieldUsage x="-1"/>
        <fieldUsage x="1"/>
      </fieldsUsage>
    </cacheHierarchy>
    <cacheHierarchy uniqueName="[Raw_Sales].[Grossprofit]" caption="Grossprofit" attribute="1" defaultMemberUniqueName="[Raw_Sales].[Grossprofit].[All]" allUniqueName="[Raw_Sales].[Grossprofit].[All]" dimensionUniqueName="[Raw_Sales]" displayFolder="" count="0" memberValueDatatype="5" unbalanced="0"/>
    <cacheHierarchy uniqueName="[Raw_Sales].[Custom]" caption="Custom" attribute="1" defaultMemberUniqueName="[Raw_Sales].[Custom].[All]" allUniqueName="[Raw_Sales].[Custom].[All]" dimensionUniqueName="[Raw_Sales]" displayFolder="" count="0" memberValueDatatype="5" unbalanced="0"/>
    <cacheHierarchy uniqueName="[Table7].[Customer ID]" caption="Customer ID" attribute="1" defaultMemberUniqueName="[Table7].[Customer ID].[All]" allUniqueName="[Table7].[Customer ID].[All]" dimensionUniqueName="[Table7]" displayFolder="" count="0" memberValueDatatype="130" unbalanced="0"/>
    <cacheHierarchy uniqueName="[Table7].[Customer Name]" caption="Customer Name" attribute="1" defaultMemberUniqueName="[Table7].[Customer Name].[All]" allUniqueName="[Table7].[Customer Name].[All]" dimensionUniqueName="[Table7]" displayFolder="" count="0" memberValueDatatype="130" unbalanced="0"/>
    <cacheHierarchy uniqueName="[Table7].[City]" caption="City" attribute="1" defaultMemberUniqueName="[Table7].[City].[All]" allUniqueName="[Table7].[City].[All]" dimensionUniqueName="[Table7]" displayFolder="" count="0" memberValueDatatype="130" unbalanced="0"/>
    <cacheHierarchy uniqueName="[Measures].[Sum of Gross Sales]" caption="Sum of Gross Sales" measure="1" displayFolder="" measureGroup="Raw_Sale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Gross Profit]" caption="Sum of Gross Profit" measure="1" displayFolder="" measureGroup="Raw_Sale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Payment Method]" caption="Count of Payment Method" measure="1" displayFolder="" measureGroup="Raw_Sale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]" caption="Sum of Custom" measure="1" displayFolder="" measureGroup="Raw_Sale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Custom]" caption="Count of Custom" measure="1" displayFolder="" measureGroup="Raw_Sale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Custom]" caption="Average of Custom" measure="1" displayFolder="" measureGroup="Raw_Sale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total gross profit]" caption="total gross profit" measure="1" displayFolder="" measureGroup="Raw_Sales" count="0"/>
    <cacheHierarchy uniqueName="[Measures].[total sales revenue]" caption="total sales revenue" measure="1" displayFolder="" measureGroup="Raw_Sales" count="0"/>
    <cacheHierarchy uniqueName="[Measures].[Measure 1]" caption="Measure 1" measure="1" displayFolder="" measureGroup="Raw_Sales" count="0"/>
    <cacheHierarchy uniqueName="[Measures].[Quntity of invice]" caption="Quntity of invice" measure="1" displayFolder="" measureGroup="Raw_Sales" count="0"/>
    <cacheHierarchy uniqueName="[Measures].[avg order value]" caption="avg order value" measure="1" displayFolder="" measureGroup="Raw_Sales" count="0"/>
    <cacheHierarchy uniqueName="[Measures].[Copy of avg order value]" caption="Copy of avg order value" measure="1" displayFolder="" measureGroup="Raw_Sales" count="0"/>
    <cacheHierarchy uniqueName="[Measures].[Copy of Quntity of invice]" caption="Copy of Quntity of invice" measure="1" displayFolder="" measureGroup="Raw_Sales" count="0"/>
    <cacheHierarchy uniqueName="[Measures].[Copy of total sales revenue]" caption="Copy of total sales revenue" measure="1" displayFolder="" measureGroup="Raw_Sales" count="0"/>
    <cacheHierarchy uniqueName="[Measures].[TOTAL QUANTITY SOLD]" caption="TOTAL QUANTITY SOLD" measure="1" displayFolder="" measureGroup="Raw_Sales" count="0"/>
    <cacheHierarchy uniqueName="[Measures].[__XL_Count Raw_Sales]" caption="__XL_Count Raw_Sales" measure="1" displayFolder="" measureGroup="Raw_Sales" count="0" hidden="1"/>
    <cacheHierarchy uniqueName="[Measures].[__XL_Count Purchases]" caption="__XL_Count Purchases" measure="1" displayFolder="" measureGroup="Purchases" count="0" hidden="1"/>
    <cacheHierarchy uniqueName="[Measures].[__XL_Count Expenses]" caption="__XL_Count Expenses" measure="1" displayFolder="" measureGroup="Expenses" count="0" hidden="1"/>
    <cacheHierarchy uniqueName="[Measures].[__XL_Count Customers]" caption="__XL_Count Customers" measure="1" displayFolder="" measureGroup="Customers" count="0" hidden="1"/>
    <cacheHierarchy uniqueName="[Measures].[__XL_Count Manager_Questions]" caption="__XL_Count Manager_Questions" measure="1" displayFolder="" measureGroup="Manager_Questions" count="0" hidden="1"/>
    <cacheHierarchy uniqueName="[Measures].[__XL_Count Table7]" caption="__XL_Count Table7" measure="1" displayFolder="" measureGroup="Table7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Expenses" uniqueName="[Expenses]" caption="Expenses"/>
    <dimension name="Manager_Questions" uniqueName="[Manager_Questions]" caption="Manager_Questions"/>
    <dimension measure="1" name="Measures" uniqueName="[Measures]" caption="Measures"/>
    <dimension name="Purchases" uniqueName="[Purchases]" caption="Purchases"/>
    <dimension name="Raw_Sales" uniqueName="[Raw_Sales]" caption="Raw_Sales"/>
    <dimension name="Table7" uniqueName="[Table7]" caption="Table7"/>
  </dimensions>
  <measureGroups count="6">
    <measureGroup name="Customers" caption="Customers"/>
    <measureGroup name="Expenses" caption="Expenses"/>
    <measureGroup name="Manager_Questions" caption="Manager_Questions"/>
    <measureGroup name="Purchases" caption="Purchases"/>
    <measureGroup name="Raw_Sales" caption="Raw_Sales"/>
    <measureGroup name="Table7" caption="Table7"/>
  </measureGroups>
  <maps count="7">
    <map measureGroup="0" dimension="0"/>
    <map measureGroup="1" dimension="1"/>
    <map measureGroup="2" dimension="2"/>
    <map measureGroup="3" dimension="4"/>
    <map measureGroup="4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aris patel" refreshedDate="46270.652405555556" backgroundQuery="1" createdVersion="8" refreshedVersion="8" minRefreshableVersion="3" recordCount="0" supportSubquery="1" supportAdvancedDrill="1" xr:uid="{C7C95CFB-43EB-4BDB-B2C1-6A0318E29956}">
  <cacheSource type="external" connectionId="6"/>
  <cacheFields count="3">
    <cacheField name="[Raw_Sales].[Month Name].[Month Name]" caption="Month Name" numFmtId="0" hierarchy="21" level="1">
      <sharedItems count="8">
        <s v="April"/>
        <s v="August"/>
        <s v="February"/>
        <s v="January"/>
        <s v="July"/>
        <s v="June"/>
        <s v="March"/>
        <s v="May"/>
      </sharedItems>
    </cacheField>
    <cacheField name="[Raw_Sales].[Category].[Category]" caption="Category" numFmtId="0" hierarchy="25" level="1">
      <sharedItems count="7">
        <s v="Ethnic Wear"/>
        <s v="Jeans"/>
        <s v="Kids Wear"/>
        <s v="Shirts"/>
        <s v="Trousers"/>
        <s v="T-Shirts"/>
        <s v="Winter Wear"/>
      </sharedItems>
    </cacheField>
    <cacheField name="[Measures].[Sum of Gross Sales]" caption="Sum of Gross Sales" numFmtId="0" hierarchy="41" level="32767"/>
  </cacheFields>
  <cacheHierarchies count="63">
    <cacheHierarchy uniqueName="[Customers].[Column1]" caption="Column1" attribute="1" defaultMemberUniqueName="[Customers].[Column1].[All]" allUniqueName="[Customers].[Column1].[All]" dimensionUniqueName="[Customers]" displayFolder="" count="0" memberValueDatatype="130" unbalanced="0"/>
    <cacheHierarchy uniqueName="[Customers].[Column2]" caption="Column2" attribute="1" defaultMemberUniqueName="[Customers].[Column2].[All]" allUniqueName="[Customers].[Column2].[All]" dimensionUniqueName="[Customers]" displayFolder="" count="0" memberValueDatatype="130" unbalanced="0"/>
    <cacheHierarchy uniqueName="[Customers].[Column3]" caption="Column3" attribute="1" defaultMemberUniqueName="[Customers].[Column3].[All]" allUniqueName="[Customers].[Column3].[All]" dimensionUniqueName="[Customers]" displayFolder="" count="0" memberValueDatatype="130" unbalanced="0"/>
    <cacheHierarchy uniqueName="[Expenses].[Expense ID]" caption="Expense ID" attribute="1" defaultMemberUniqueName="[Expenses].[Expense ID].[All]" allUniqueName="[Expenses].[Expense ID].[All]" dimensionUniqueName="[Expenses]" displayFolder="" count="0" memberValueDatatype="130" unbalanced="0"/>
    <cacheHierarchy uniqueName="[Expenses].[Date]" caption="Date" attribute="1" time="1" defaultMemberUniqueName="[Expenses].[Date].[All]" allUniqueName="[Expenses].[Date].[All]" dimensionUniqueName="[Expenses]" displayFolder="" count="0" memberValueDatatype="7" unbalanced="0"/>
    <cacheHierarchy uniqueName="[Expenses].[Expense Category]" caption="Expense Category" attribute="1" defaultMemberUniqueName="[Expenses].[Expense Category].[All]" allUniqueName="[Expenses].[Expense Category].[All]" dimensionUniqueName="[Expenses]" displayFolder="" count="0" memberValueDatatype="130" unbalanced="0"/>
    <cacheHierarchy uniqueName="[Expenses].[Amount]" caption="Amount" attribute="1" defaultMemberUniqueName="[Expenses].[Amount].[All]" allUniqueName="[Expenses].[Amount].[All]" dimensionUniqueName="[Expenses]" displayFolder="" count="0" memberValueDatatype="20" unbalanced="0"/>
    <cacheHierarchy uniqueName="[Expenses].[Store]" caption="Store" attribute="1" defaultMemberUniqueName="[Expenses].[Store].[All]" allUniqueName="[Expenses].[Store].[All]" dimensionUniqueName="[Expenses]" displayFolder="" count="0" memberValueDatatype="130" unbalanced="0"/>
    <cacheHierarchy uniqueName="[Manager_Questions].[No]" caption="No" attribute="1" defaultMemberUniqueName="[Manager_Questions].[No].[All]" allUniqueName="[Manager_Questions].[No].[All]" dimensionUniqueName="[Manager_Questions]" displayFolder="" count="0" memberValueDatatype="20" unbalanced="0"/>
    <cacheHierarchy uniqueName="[Manager_Questions].[Manager Question]" caption="Manager Question" attribute="1" defaultMemberUniqueName="[Manager_Questions].[Manager Question].[All]" allUniqueName="[Manager_Questions].[Manager Question].[All]" dimensionUniqueName="[Manager_Questions]" displayFolder="" count="0" memberValueDatatype="130" unbalanced="0"/>
    <cacheHierarchy uniqueName="[Purchases].[Purchase ID]" caption="Purchase ID" attribute="1" defaultMemberUniqueName="[Purchases].[Purchase ID].[All]" allUniqueName="[Purchases].[Purchase ID].[All]" dimensionUniqueName="[Purchases]" displayFolder="" count="0" memberValueDatatype="130" unbalanced="0"/>
    <cacheHierarchy uniqueName="[Purchases].[Date]" caption="Date" attribute="1" time="1" defaultMemberUniqueName="[Purchases].[Date].[All]" allUniqueName="[Purchases].[Date].[All]" dimensionUniqueName="[Purchases]" displayFolder="" count="0" memberValueDatatype="7" unbalanced="0"/>
    <cacheHierarchy uniqueName="[Purchases].[Product ID]" caption="Product ID" attribute="1" defaultMemberUniqueName="[Purchases].[Product ID].[All]" allUniqueName="[Purchases].[Product ID].[All]" dimensionUniqueName="[Purchases]" displayFolder="" count="0" memberValueDatatype="130" unbalanced="0"/>
    <cacheHierarchy uniqueName="[Purchases].[Product]" caption="Product" attribute="1" defaultMemberUniqueName="[Purchases].[Product].[All]" allUniqueName="[Purchases].[Product].[All]" dimensionUniqueName="[Purchases]" displayFolder="" count="0" memberValueDatatype="130" unbalanced="0"/>
    <cacheHierarchy uniqueName="[Purchases].[Category]" caption="Category" attribute="1" defaultMemberUniqueName="[Purchases].[Category].[All]" allUniqueName="[Purchases].[Category].[All]" dimensionUniqueName="[Purchases]" displayFolder="" count="0" memberValueDatatype="130" unbalanced="0"/>
    <cacheHierarchy uniqueName="[Purchases].[Quantity]" caption="Quantity" attribute="1" defaultMemberUniqueName="[Purchases].[Quantity].[All]" allUniqueName="[Purchases].[Quantity].[All]" dimensionUniqueName="[Purchases]" displayFolder="" count="0" memberValueDatatype="20" unbalanced="0"/>
    <cacheHierarchy uniqueName="[Purchases].[Unit Cost]" caption="Unit Cost" attribute="1" defaultMemberUniqueName="[Purchases].[Unit Cost].[All]" allUniqueName="[Purchases].[Unit Cost].[All]" dimensionUniqueName="[Purchases]" displayFolder="" count="0" memberValueDatatype="5" unbalanced="0"/>
    <cacheHierarchy uniqueName="[Purchases].[Purchase Amount]" caption="Purchase Amount" attribute="1" defaultMemberUniqueName="[Purchases].[Purchase Amount].[All]" allUniqueName="[Purchases].[Purchase Amount].[All]" dimensionUniqueName="[Purchases]" displayFolder="" count="0" memberValueDatatype="5" unbalanced="0"/>
    <cacheHierarchy uniqueName="[Purchases].[Supplier]" caption="Supplier" attribute="1" defaultMemberUniqueName="[Purchases].[Supplier].[All]" allUniqueName="[Purchases].[Supplier].[All]" dimensionUniqueName="[Purchases]" displayFolder="" count="0" memberValueDatatype="130" unbalanced="0"/>
    <cacheHierarchy uniqueName="[Raw_Sales].[Invoice ID]" caption="Invoice ID" attribute="1" defaultMemberUniqueName="[Raw_Sales].[Invoice ID].[All]" allUniqueName="[Raw_Sales].[Invoice ID].[All]" dimensionUniqueName="[Raw_Sales]" displayFolder="" count="0" memberValueDatatype="130" unbalanced="0"/>
    <cacheHierarchy uniqueName="[Raw_Sales].[Date]" caption="Date" attribute="1" time="1" defaultMemberUniqueName="[Raw_Sales].[Date].[All]" allUniqueName="[Raw_Sales].[Date].[All]" dimensionUniqueName="[Raw_Sales]" displayFolder="" count="2" memberValueDatatype="7" unbalanced="0"/>
    <cacheHierarchy uniqueName="[Raw_Sales].[Month Name]" caption="Month Name" attribute="1" defaultMemberUniqueName="[Raw_Sales].[Month Name].[All]" allUniqueName="[Raw_Sales].[Month Name].[All]" dimensionUniqueName="[Raw_Sales]" displayFolder="" count="2" memberValueDatatype="130" unbalanced="0">
      <fieldsUsage count="2">
        <fieldUsage x="-1"/>
        <fieldUsage x="0"/>
      </fieldsUsage>
    </cacheHierarchy>
    <cacheHierarchy uniqueName="[Raw_Sales].[Customer ID]" caption="Customer ID" attribute="1" defaultMemberUniqueName="[Raw_Sales].[Customer ID].[All]" allUniqueName="[Raw_Sales].[Customer ID].[All]" dimensionUniqueName="[Raw_Sales]" displayFolder="" count="0" memberValueDatatype="130" unbalanced="0"/>
    <cacheHierarchy uniqueName="[Raw_Sales].[Product ID]" caption="Product ID" attribute="1" defaultMemberUniqueName="[Raw_Sales].[Product ID].[All]" allUniqueName="[Raw_Sales].[Product ID].[All]" dimensionUniqueName="[Raw_Sales]" displayFolder="" count="0" memberValueDatatype="130" unbalanced="0"/>
    <cacheHierarchy uniqueName="[Raw_Sales].[Product]" caption="Product" attribute="1" defaultMemberUniqueName="[Raw_Sales].[Product].[All]" allUniqueName="[Raw_Sales].[Product].[All]" dimensionUniqueName="[Raw_Sales]" displayFolder="" count="0" memberValueDatatype="130" unbalanced="0"/>
    <cacheHierarchy uniqueName="[Raw_Sales].[Category]" caption="Category" attribute="1" defaultMemberUniqueName="[Raw_Sales].[Category].[All]" allUniqueName="[Raw_Sales].[Category].[All]" dimensionUniqueName="[Raw_Sales]" displayFolder="" count="2" memberValueDatatype="130" unbalanced="0">
      <fieldsUsage count="2">
        <fieldUsage x="-1"/>
        <fieldUsage x="1"/>
      </fieldsUsage>
    </cacheHierarchy>
    <cacheHierarchy uniqueName="[Raw_Sales].[Quantity]" caption="Quantity" attribute="1" defaultMemberUniqueName="[Raw_Sales].[Quantity].[All]" allUniqueName="[Raw_Sales].[Quantity].[All]" dimensionUniqueName="[Raw_Sales]" displayFolder="" count="0" memberValueDatatype="20" unbalanced="0"/>
    <cacheHierarchy uniqueName="[Raw_Sales].[Unit Price]" caption="Unit Price" attribute="1" defaultMemberUniqueName="[Raw_Sales].[Unit Price].[All]" allUniqueName="[Raw_Sales].[Unit Price].[All]" dimensionUniqueName="[Raw_Sales]" displayFolder="" count="0" memberValueDatatype="20" unbalanced="0"/>
    <cacheHierarchy uniqueName="[Raw_Sales].[Discount]" caption="Discount" attribute="1" defaultMemberUniqueName="[Raw_Sales].[Discount].[All]" allUniqueName="[Raw_Sales].[Discount].[All]" dimensionUniqueName="[Raw_Sales]" displayFolder="" count="0" memberValueDatatype="5" unbalanced="0"/>
    <cacheHierarchy uniqueName="[Raw_Sales].[Gross Sales]" caption="Gross Sales" attribute="1" defaultMemberUniqueName="[Raw_Sales].[Gross Sales].[All]" allUniqueName="[Raw_Sales].[Gross Sales].[All]" dimensionUniqueName="[Raw_Sales]" displayFolder="" count="0" memberValueDatatype="5" unbalanced="0"/>
    <cacheHierarchy uniqueName="[Raw_Sales].[COst of Goods]" caption="COst of Goods" attribute="1" defaultMemberUniqueName="[Raw_Sales].[COst of Goods].[All]" allUniqueName="[Raw_Sales].[COst of Goods].[All]" dimensionUniqueName="[Raw_Sales]" displayFolder="" count="0" memberValueDatatype="20" unbalanced="0"/>
    <cacheHierarchy uniqueName="[Raw_Sales].[Gross Profit]" caption="Gross Profit" attribute="1" defaultMemberUniqueName="[Raw_Sales].[Gross Profit].[All]" allUniqueName="[Raw_Sales].[Gross Profit].[All]" dimensionUniqueName="[Raw_Sales]" displayFolder="" count="0" memberValueDatatype="5" unbalanced="0"/>
    <cacheHierarchy uniqueName="[Raw_Sales].[Salesperson]" caption="Salesperson" attribute="1" defaultMemberUniqueName="[Raw_Sales].[Salesperson].[All]" allUniqueName="[Raw_Sales].[Salesperson].[All]" dimensionUniqueName="[Raw_Sales]" displayFolder="" count="0" memberValueDatatype="130" unbalanced="0"/>
    <cacheHierarchy uniqueName="[Raw_Sales].[Store]" caption="Store" attribute="1" defaultMemberUniqueName="[Raw_Sales].[Store].[All]" allUniqueName="[Raw_Sales].[Store].[All]" dimensionUniqueName="[Raw_Sales]" displayFolder="" count="0" memberValueDatatype="130" unbalanced="0"/>
    <cacheHierarchy uniqueName="[Raw_Sales].[City]" caption="City" attribute="1" defaultMemberUniqueName="[Raw_Sales].[City].[All]" allUniqueName="[Raw_Sales].[City].[All]" dimensionUniqueName="[Raw_Sales]" displayFolder="" count="0" memberValueDatatype="130" unbalanced="0"/>
    <cacheHierarchy uniqueName="[Raw_Sales].[Payment Method]" caption="Payment Method" attribute="1" defaultMemberUniqueName="[Raw_Sales].[Payment Method].[All]" allUniqueName="[Raw_Sales].[Payment Method].[All]" dimensionUniqueName="[Raw_Sales]" displayFolder="" count="0" memberValueDatatype="130" unbalanced="0"/>
    <cacheHierarchy uniqueName="[Raw_Sales].[Grossprofit]" caption="Grossprofit" attribute="1" defaultMemberUniqueName="[Raw_Sales].[Grossprofit].[All]" allUniqueName="[Raw_Sales].[Grossprofit].[All]" dimensionUniqueName="[Raw_Sales]" displayFolder="" count="0" memberValueDatatype="5" unbalanced="0"/>
    <cacheHierarchy uniqueName="[Raw_Sales].[Custom]" caption="Custom" attribute="1" defaultMemberUniqueName="[Raw_Sales].[Custom].[All]" allUniqueName="[Raw_Sales].[Custom].[All]" dimensionUniqueName="[Raw_Sales]" displayFolder="" count="0" memberValueDatatype="5" unbalanced="0"/>
    <cacheHierarchy uniqueName="[Table7].[Customer ID]" caption="Customer ID" attribute="1" defaultMemberUniqueName="[Table7].[Customer ID].[All]" allUniqueName="[Table7].[Customer ID].[All]" dimensionUniqueName="[Table7]" displayFolder="" count="0" memberValueDatatype="130" unbalanced="0"/>
    <cacheHierarchy uniqueName="[Table7].[Customer Name]" caption="Customer Name" attribute="1" defaultMemberUniqueName="[Table7].[Customer Name].[All]" allUniqueName="[Table7].[Customer Name].[All]" dimensionUniqueName="[Table7]" displayFolder="" count="0" memberValueDatatype="130" unbalanced="0"/>
    <cacheHierarchy uniqueName="[Table7].[City]" caption="City" attribute="1" defaultMemberUniqueName="[Table7].[City].[All]" allUniqueName="[Table7].[City].[All]" dimensionUniqueName="[Table7]" displayFolder="" count="0" memberValueDatatype="130" unbalanced="0"/>
    <cacheHierarchy uniqueName="[Measures].[Sum of Gross Sales]" caption="Sum of Gross Sales" measure="1" displayFolder="" measureGroup="Raw_Sale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Gross Profit]" caption="Sum of Gross Profit" measure="1" displayFolder="" measureGroup="Raw_Sale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Payment Method]" caption="Count of Payment Method" measure="1" displayFolder="" measureGroup="Raw_Sales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]" caption="Sum of Custom" measure="1" displayFolder="" measureGroup="Raw_Sale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Custom]" caption="Count of Custom" measure="1" displayFolder="" measureGroup="Raw_Sale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Custom]" caption="Average of Custom" measure="1" displayFolder="" measureGroup="Raw_Sale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total gross profit]" caption="total gross profit" measure="1" displayFolder="" measureGroup="Raw_Sales" count="0"/>
    <cacheHierarchy uniqueName="[Measures].[total sales revenue]" caption="total sales revenue" measure="1" displayFolder="" measureGroup="Raw_Sales" count="0"/>
    <cacheHierarchy uniqueName="[Measures].[Measure 1]" caption="Measure 1" measure="1" displayFolder="" measureGroup="Raw_Sales" count="0"/>
    <cacheHierarchy uniqueName="[Measures].[Quntity of invice]" caption="Quntity of invice" measure="1" displayFolder="" measureGroup="Raw_Sales" count="0"/>
    <cacheHierarchy uniqueName="[Measures].[avg order value]" caption="avg order value" measure="1" displayFolder="" measureGroup="Raw_Sales" count="0"/>
    <cacheHierarchy uniqueName="[Measures].[Copy of avg order value]" caption="Copy of avg order value" measure="1" displayFolder="" measureGroup="Raw_Sales" count="0"/>
    <cacheHierarchy uniqueName="[Measures].[Copy of Quntity of invice]" caption="Copy of Quntity of invice" measure="1" displayFolder="" measureGroup="Raw_Sales" count="0"/>
    <cacheHierarchy uniqueName="[Measures].[Copy of total sales revenue]" caption="Copy of total sales revenue" measure="1" displayFolder="" measureGroup="Raw_Sales" count="0"/>
    <cacheHierarchy uniqueName="[Measures].[TOTAL QUANTITY SOLD]" caption="TOTAL QUANTITY SOLD" measure="1" displayFolder="" measureGroup="Raw_Sales" count="0"/>
    <cacheHierarchy uniqueName="[Measures].[__XL_Count Raw_Sales]" caption="__XL_Count Raw_Sales" measure="1" displayFolder="" measureGroup="Raw_Sales" count="0" hidden="1"/>
    <cacheHierarchy uniqueName="[Measures].[__XL_Count Purchases]" caption="__XL_Count Purchases" measure="1" displayFolder="" measureGroup="Purchases" count="0" hidden="1"/>
    <cacheHierarchy uniqueName="[Measures].[__XL_Count Expenses]" caption="__XL_Count Expenses" measure="1" displayFolder="" measureGroup="Expenses" count="0" hidden="1"/>
    <cacheHierarchy uniqueName="[Measures].[__XL_Count Customers]" caption="__XL_Count Customers" measure="1" displayFolder="" measureGroup="Customers" count="0" hidden="1"/>
    <cacheHierarchy uniqueName="[Measures].[__XL_Count Manager_Questions]" caption="__XL_Count Manager_Questions" measure="1" displayFolder="" measureGroup="Manager_Questions" count="0" hidden="1"/>
    <cacheHierarchy uniqueName="[Measures].[__XL_Count Table7]" caption="__XL_Count Table7" measure="1" displayFolder="" measureGroup="Table7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Expenses" uniqueName="[Expenses]" caption="Expenses"/>
    <dimension name="Manager_Questions" uniqueName="[Manager_Questions]" caption="Manager_Questions"/>
    <dimension measure="1" name="Measures" uniqueName="[Measures]" caption="Measures"/>
    <dimension name="Purchases" uniqueName="[Purchases]" caption="Purchases"/>
    <dimension name="Raw_Sales" uniqueName="[Raw_Sales]" caption="Raw_Sales"/>
    <dimension name="Table7" uniqueName="[Table7]" caption="Table7"/>
  </dimensions>
  <measureGroups count="6">
    <measureGroup name="Customers" caption="Customers"/>
    <measureGroup name="Expenses" caption="Expenses"/>
    <measureGroup name="Manager_Questions" caption="Manager_Questions"/>
    <measureGroup name="Purchases" caption="Purchases"/>
    <measureGroup name="Raw_Sales" caption="Raw_Sales"/>
    <measureGroup name="Table7" caption="Table7"/>
  </measureGroups>
  <maps count="7">
    <map measureGroup="0" dimension="0"/>
    <map measureGroup="1" dimension="1"/>
    <map measureGroup="2" dimension="2"/>
    <map measureGroup="3" dimension="4"/>
    <map measureGroup="4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aris patel" refreshedDate="46270.652407060188" backgroundQuery="1" createdVersion="8" refreshedVersion="8" minRefreshableVersion="3" recordCount="0" supportSubquery="1" supportAdvancedDrill="1" xr:uid="{C1B0633D-9EEB-4FAA-95D8-3607D0858FA4}">
  <cacheSource type="external" connectionId="6"/>
  <cacheFields count="3">
    <cacheField name="[Raw_Sales].[Month Name].[Month Name]" caption="Month Name" numFmtId="0" hierarchy="21" level="1">
      <sharedItems count="8">
        <s v="April"/>
        <s v="August"/>
        <s v="February"/>
        <s v="January"/>
        <s v="July"/>
        <s v="June"/>
        <s v="March"/>
        <s v="May"/>
      </sharedItems>
    </cacheField>
    <cacheField name="[Raw_Sales].[Salesperson].[Salesperson]" caption="Salesperson" numFmtId="0" hierarchy="32" level="1">
      <sharedItems count="1">
        <s v="Amit"/>
      </sharedItems>
    </cacheField>
    <cacheField name="[Measures].[Sum of Gross Sales]" caption="Sum of Gross Sales" numFmtId="0" hierarchy="41" level="32767"/>
  </cacheFields>
  <cacheHierarchies count="63">
    <cacheHierarchy uniqueName="[Customers].[Column1]" caption="Column1" attribute="1" defaultMemberUniqueName="[Customers].[Column1].[All]" allUniqueName="[Customers].[Column1].[All]" dimensionUniqueName="[Customers]" displayFolder="" count="0" memberValueDatatype="130" unbalanced="0"/>
    <cacheHierarchy uniqueName="[Customers].[Column2]" caption="Column2" attribute="1" defaultMemberUniqueName="[Customers].[Column2].[All]" allUniqueName="[Customers].[Column2].[All]" dimensionUniqueName="[Customers]" displayFolder="" count="0" memberValueDatatype="130" unbalanced="0"/>
    <cacheHierarchy uniqueName="[Customers].[Column3]" caption="Column3" attribute="1" defaultMemberUniqueName="[Customers].[Column3].[All]" allUniqueName="[Customers].[Column3].[All]" dimensionUniqueName="[Customers]" displayFolder="" count="0" memberValueDatatype="130" unbalanced="0"/>
    <cacheHierarchy uniqueName="[Expenses].[Expense ID]" caption="Expense ID" attribute="1" defaultMemberUniqueName="[Expenses].[Expense ID].[All]" allUniqueName="[Expenses].[Expense ID].[All]" dimensionUniqueName="[Expenses]" displayFolder="" count="0" memberValueDatatype="130" unbalanced="0"/>
    <cacheHierarchy uniqueName="[Expenses].[Date]" caption="Date" attribute="1" time="1" defaultMemberUniqueName="[Expenses].[Date].[All]" allUniqueName="[Expenses].[Date].[All]" dimensionUniqueName="[Expenses]" displayFolder="" count="0" memberValueDatatype="7" unbalanced="0"/>
    <cacheHierarchy uniqueName="[Expenses].[Expense Category]" caption="Expense Category" attribute="1" defaultMemberUniqueName="[Expenses].[Expense Category].[All]" allUniqueName="[Expenses].[Expense Category].[All]" dimensionUniqueName="[Expenses]" displayFolder="" count="0" memberValueDatatype="130" unbalanced="0"/>
    <cacheHierarchy uniqueName="[Expenses].[Amount]" caption="Amount" attribute="1" defaultMemberUniqueName="[Expenses].[Amount].[All]" allUniqueName="[Expenses].[Amount].[All]" dimensionUniqueName="[Expenses]" displayFolder="" count="0" memberValueDatatype="20" unbalanced="0"/>
    <cacheHierarchy uniqueName="[Expenses].[Store]" caption="Store" attribute="1" defaultMemberUniqueName="[Expenses].[Store].[All]" allUniqueName="[Expenses].[Store].[All]" dimensionUniqueName="[Expenses]" displayFolder="" count="0" memberValueDatatype="130" unbalanced="0"/>
    <cacheHierarchy uniqueName="[Manager_Questions].[No]" caption="No" attribute="1" defaultMemberUniqueName="[Manager_Questions].[No].[All]" allUniqueName="[Manager_Questions].[No].[All]" dimensionUniqueName="[Manager_Questions]" displayFolder="" count="0" memberValueDatatype="20" unbalanced="0"/>
    <cacheHierarchy uniqueName="[Manager_Questions].[Manager Question]" caption="Manager Question" attribute="1" defaultMemberUniqueName="[Manager_Questions].[Manager Question].[All]" allUniqueName="[Manager_Questions].[Manager Question].[All]" dimensionUniqueName="[Manager_Questions]" displayFolder="" count="0" memberValueDatatype="130" unbalanced="0"/>
    <cacheHierarchy uniqueName="[Purchases].[Purchase ID]" caption="Purchase ID" attribute="1" defaultMemberUniqueName="[Purchases].[Purchase ID].[All]" allUniqueName="[Purchases].[Purchase ID].[All]" dimensionUniqueName="[Purchases]" displayFolder="" count="0" memberValueDatatype="130" unbalanced="0"/>
    <cacheHierarchy uniqueName="[Purchases].[Date]" caption="Date" attribute="1" time="1" defaultMemberUniqueName="[Purchases].[Date].[All]" allUniqueName="[Purchases].[Date].[All]" dimensionUniqueName="[Purchases]" displayFolder="" count="0" memberValueDatatype="7" unbalanced="0"/>
    <cacheHierarchy uniqueName="[Purchases].[Product ID]" caption="Product ID" attribute="1" defaultMemberUniqueName="[Purchases].[Product ID].[All]" allUniqueName="[Purchases].[Product ID].[All]" dimensionUniqueName="[Purchases]" displayFolder="" count="0" memberValueDatatype="130" unbalanced="0"/>
    <cacheHierarchy uniqueName="[Purchases].[Product]" caption="Product" attribute="1" defaultMemberUniqueName="[Purchases].[Product].[All]" allUniqueName="[Purchases].[Product].[All]" dimensionUniqueName="[Purchases]" displayFolder="" count="0" memberValueDatatype="130" unbalanced="0"/>
    <cacheHierarchy uniqueName="[Purchases].[Category]" caption="Category" attribute="1" defaultMemberUniqueName="[Purchases].[Category].[All]" allUniqueName="[Purchases].[Category].[All]" dimensionUniqueName="[Purchases]" displayFolder="" count="0" memberValueDatatype="130" unbalanced="0"/>
    <cacheHierarchy uniqueName="[Purchases].[Quantity]" caption="Quantity" attribute="1" defaultMemberUniqueName="[Purchases].[Quantity].[All]" allUniqueName="[Purchases].[Quantity].[All]" dimensionUniqueName="[Purchases]" displayFolder="" count="0" memberValueDatatype="20" unbalanced="0"/>
    <cacheHierarchy uniqueName="[Purchases].[Unit Cost]" caption="Unit Cost" attribute="1" defaultMemberUniqueName="[Purchases].[Unit Cost].[All]" allUniqueName="[Purchases].[Unit Cost].[All]" dimensionUniqueName="[Purchases]" displayFolder="" count="0" memberValueDatatype="5" unbalanced="0"/>
    <cacheHierarchy uniqueName="[Purchases].[Purchase Amount]" caption="Purchase Amount" attribute="1" defaultMemberUniqueName="[Purchases].[Purchase Amount].[All]" allUniqueName="[Purchases].[Purchase Amount].[All]" dimensionUniqueName="[Purchases]" displayFolder="" count="0" memberValueDatatype="5" unbalanced="0"/>
    <cacheHierarchy uniqueName="[Purchases].[Supplier]" caption="Supplier" attribute="1" defaultMemberUniqueName="[Purchases].[Supplier].[All]" allUniqueName="[Purchases].[Supplier].[All]" dimensionUniqueName="[Purchases]" displayFolder="" count="0" memberValueDatatype="130" unbalanced="0"/>
    <cacheHierarchy uniqueName="[Raw_Sales].[Invoice ID]" caption="Invoice ID" attribute="1" defaultMemberUniqueName="[Raw_Sales].[Invoice ID].[All]" allUniqueName="[Raw_Sales].[Invoice ID].[All]" dimensionUniqueName="[Raw_Sales]" displayFolder="" count="0" memberValueDatatype="130" unbalanced="0"/>
    <cacheHierarchy uniqueName="[Raw_Sales].[Date]" caption="Date" attribute="1" time="1" defaultMemberUniqueName="[Raw_Sales].[Date].[All]" allUniqueName="[Raw_Sales].[Date].[All]" dimensionUniqueName="[Raw_Sales]" displayFolder="" count="2" memberValueDatatype="7" unbalanced="0"/>
    <cacheHierarchy uniqueName="[Raw_Sales].[Month Name]" caption="Month Name" attribute="1" defaultMemberUniqueName="[Raw_Sales].[Month Name].[All]" allUniqueName="[Raw_Sales].[Month Name].[All]" dimensionUniqueName="[Raw_Sales]" displayFolder="" count="2" memberValueDatatype="130" unbalanced="0">
      <fieldsUsage count="2">
        <fieldUsage x="-1"/>
        <fieldUsage x="0"/>
      </fieldsUsage>
    </cacheHierarchy>
    <cacheHierarchy uniqueName="[Raw_Sales].[Customer ID]" caption="Customer ID" attribute="1" defaultMemberUniqueName="[Raw_Sales].[Customer ID].[All]" allUniqueName="[Raw_Sales].[Customer ID].[All]" dimensionUniqueName="[Raw_Sales]" displayFolder="" count="0" memberValueDatatype="130" unbalanced="0"/>
    <cacheHierarchy uniqueName="[Raw_Sales].[Product ID]" caption="Product ID" attribute="1" defaultMemberUniqueName="[Raw_Sales].[Product ID].[All]" allUniqueName="[Raw_Sales].[Product ID].[All]" dimensionUniqueName="[Raw_Sales]" displayFolder="" count="0" memberValueDatatype="130" unbalanced="0"/>
    <cacheHierarchy uniqueName="[Raw_Sales].[Product]" caption="Product" attribute="1" defaultMemberUniqueName="[Raw_Sales].[Product].[All]" allUniqueName="[Raw_Sales].[Product].[All]" dimensionUniqueName="[Raw_Sales]" displayFolder="" count="0" memberValueDatatype="130" unbalanced="0"/>
    <cacheHierarchy uniqueName="[Raw_Sales].[Category]" caption="Category" attribute="1" defaultMemberUniqueName="[Raw_Sales].[Category].[All]" allUniqueName="[Raw_Sales].[Category].[All]" dimensionUniqueName="[Raw_Sales]" displayFolder="" count="0" memberValueDatatype="130" unbalanced="0"/>
    <cacheHierarchy uniqueName="[Raw_Sales].[Quantity]" caption="Quantity" attribute="1" defaultMemberUniqueName="[Raw_Sales].[Quantity].[All]" allUniqueName="[Raw_Sales].[Quantity].[All]" dimensionUniqueName="[Raw_Sales]" displayFolder="" count="0" memberValueDatatype="20" unbalanced="0"/>
    <cacheHierarchy uniqueName="[Raw_Sales].[Unit Price]" caption="Unit Price" attribute="1" defaultMemberUniqueName="[Raw_Sales].[Unit Price].[All]" allUniqueName="[Raw_Sales].[Unit Price].[All]" dimensionUniqueName="[Raw_Sales]" displayFolder="" count="0" memberValueDatatype="20" unbalanced="0"/>
    <cacheHierarchy uniqueName="[Raw_Sales].[Discount]" caption="Discount" attribute="1" defaultMemberUniqueName="[Raw_Sales].[Discount].[All]" allUniqueName="[Raw_Sales].[Discount].[All]" dimensionUniqueName="[Raw_Sales]" displayFolder="" count="0" memberValueDatatype="5" unbalanced="0"/>
    <cacheHierarchy uniqueName="[Raw_Sales].[Gross Sales]" caption="Gross Sales" attribute="1" defaultMemberUniqueName="[Raw_Sales].[Gross Sales].[All]" allUniqueName="[Raw_Sales].[Gross Sales].[All]" dimensionUniqueName="[Raw_Sales]" displayFolder="" count="0" memberValueDatatype="5" unbalanced="0"/>
    <cacheHierarchy uniqueName="[Raw_Sales].[COst of Goods]" caption="COst of Goods" attribute="1" defaultMemberUniqueName="[Raw_Sales].[COst of Goods].[All]" allUniqueName="[Raw_Sales].[COst of Goods].[All]" dimensionUniqueName="[Raw_Sales]" displayFolder="" count="0" memberValueDatatype="20" unbalanced="0"/>
    <cacheHierarchy uniqueName="[Raw_Sales].[Gross Profit]" caption="Gross Profit" attribute="1" defaultMemberUniqueName="[Raw_Sales].[Gross Profit].[All]" allUniqueName="[Raw_Sales].[Gross Profit].[All]" dimensionUniqueName="[Raw_Sales]" displayFolder="" count="0" memberValueDatatype="5" unbalanced="0"/>
    <cacheHierarchy uniqueName="[Raw_Sales].[Salesperson]" caption="Salesperson" attribute="1" defaultMemberUniqueName="[Raw_Sales].[Salesperson].[All]" allUniqueName="[Raw_Sales].[Salesperson].[All]" dimensionUniqueName="[Raw_Sales]" displayFolder="" count="2" memberValueDatatype="130" unbalanced="0">
      <fieldsUsage count="2">
        <fieldUsage x="-1"/>
        <fieldUsage x="1"/>
      </fieldsUsage>
    </cacheHierarchy>
    <cacheHierarchy uniqueName="[Raw_Sales].[Store]" caption="Store" attribute="1" defaultMemberUniqueName="[Raw_Sales].[Store].[All]" allUniqueName="[Raw_Sales].[Store].[All]" dimensionUniqueName="[Raw_Sales]" displayFolder="" count="0" memberValueDatatype="130" unbalanced="0"/>
    <cacheHierarchy uniqueName="[Raw_Sales].[City]" caption="City" attribute="1" defaultMemberUniqueName="[Raw_Sales].[City].[All]" allUniqueName="[Raw_Sales].[City].[All]" dimensionUniqueName="[Raw_Sales]" displayFolder="" count="0" memberValueDatatype="130" unbalanced="0"/>
    <cacheHierarchy uniqueName="[Raw_Sales].[Payment Method]" caption="Payment Method" attribute="1" defaultMemberUniqueName="[Raw_Sales].[Payment Method].[All]" allUniqueName="[Raw_Sales].[Payment Method].[All]" dimensionUniqueName="[Raw_Sales]" displayFolder="" count="0" memberValueDatatype="130" unbalanced="0"/>
    <cacheHierarchy uniqueName="[Raw_Sales].[Grossprofit]" caption="Grossprofit" attribute="1" defaultMemberUniqueName="[Raw_Sales].[Grossprofit].[All]" allUniqueName="[Raw_Sales].[Grossprofit].[All]" dimensionUniqueName="[Raw_Sales]" displayFolder="" count="0" memberValueDatatype="5" unbalanced="0"/>
    <cacheHierarchy uniqueName="[Raw_Sales].[Custom]" caption="Custom" attribute="1" defaultMemberUniqueName="[Raw_Sales].[Custom].[All]" allUniqueName="[Raw_Sales].[Custom].[All]" dimensionUniqueName="[Raw_Sales]" displayFolder="" count="0" memberValueDatatype="5" unbalanced="0"/>
    <cacheHierarchy uniqueName="[Table7].[Customer ID]" caption="Customer ID" attribute="1" defaultMemberUniqueName="[Table7].[Customer ID].[All]" allUniqueName="[Table7].[Customer ID].[All]" dimensionUniqueName="[Table7]" displayFolder="" count="0" memberValueDatatype="130" unbalanced="0"/>
    <cacheHierarchy uniqueName="[Table7].[Customer Name]" caption="Customer Name" attribute="1" defaultMemberUniqueName="[Table7].[Customer Name].[All]" allUniqueName="[Table7].[Customer Name].[All]" dimensionUniqueName="[Table7]" displayFolder="" count="0" memberValueDatatype="130" unbalanced="0"/>
    <cacheHierarchy uniqueName="[Table7].[City]" caption="City" attribute="1" defaultMemberUniqueName="[Table7].[City].[All]" allUniqueName="[Table7].[City].[All]" dimensionUniqueName="[Table7]" displayFolder="" count="0" memberValueDatatype="130" unbalanced="0"/>
    <cacheHierarchy uniqueName="[Measures].[Sum of Gross Sales]" caption="Sum of Gross Sales" measure="1" displayFolder="" measureGroup="Raw_Sale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Gross Profit]" caption="Sum of Gross Profit" measure="1" displayFolder="" measureGroup="Raw_Sale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Payment Method]" caption="Count of Payment Method" measure="1" displayFolder="" measureGroup="Raw_Sales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]" caption="Sum of Custom" measure="1" displayFolder="" measureGroup="Raw_Sale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Custom]" caption="Count of Custom" measure="1" displayFolder="" measureGroup="Raw_Sale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Custom]" caption="Average of Custom" measure="1" displayFolder="" measureGroup="Raw_Sale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total gross profit]" caption="total gross profit" measure="1" displayFolder="" measureGroup="Raw_Sales" count="0"/>
    <cacheHierarchy uniqueName="[Measures].[total sales revenue]" caption="total sales revenue" measure="1" displayFolder="" measureGroup="Raw_Sales" count="0"/>
    <cacheHierarchy uniqueName="[Measures].[Measure 1]" caption="Measure 1" measure="1" displayFolder="" measureGroup="Raw_Sales" count="0"/>
    <cacheHierarchy uniqueName="[Measures].[Quntity of invice]" caption="Quntity of invice" measure="1" displayFolder="" measureGroup="Raw_Sales" count="0"/>
    <cacheHierarchy uniqueName="[Measures].[avg order value]" caption="avg order value" measure="1" displayFolder="" measureGroup="Raw_Sales" count="0"/>
    <cacheHierarchy uniqueName="[Measures].[Copy of avg order value]" caption="Copy of avg order value" measure="1" displayFolder="" measureGroup="Raw_Sales" count="0"/>
    <cacheHierarchy uniqueName="[Measures].[Copy of Quntity of invice]" caption="Copy of Quntity of invice" measure="1" displayFolder="" measureGroup="Raw_Sales" count="0"/>
    <cacheHierarchy uniqueName="[Measures].[Copy of total sales revenue]" caption="Copy of total sales revenue" measure="1" displayFolder="" measureGroup="Raw_Sales" count="0"/>
    <cacheHierarchy uniqueName="[Measures].[TOTAL QUANTITY SOLD]" caption="TOTAL QUANTITY SOLD" measure="1" displayFolder="" measureGroup="Raw_Sales" count="0"/>
    <cacheHierarchy uniqueName="[Measures].[__XL_Count Raw_Sales]" caption="__XL_Count Raw_Sales" measure="1" displayFolder="" measureGroup="Raw_Sales" count="0" hidden="1"/>
    <cacheHierarchy uniqueName="[Measures].[__XL_Count Purchases]" caption="__XL_Count Purchases" measure="1" displayFolder="" measureGroup="Purchases" count="0" hidden="1"/>
    <cacheHierarchy uniqueName="[Measures].[__XL_Count Expenses]" caption="__XL_Count Expenses" measure="1" displayFolder="" measureGroup="Expenses" count="0" hidden="1"/>
    <cacheHierarchy uniqueName="[Measures].[__XL_Count Customers]" caption="__XL_Count Customers" measure="1" displayFolder="" measureGroup="Customers" count="0" hidden="1"/>
    <cacheHierarchy uniqueName="[Measures].[__XL_Count Manager_Questions]" caption="__XL_Count Manager_Questions" measure="1" displayFolder="" measureGroup="Manager_Questions" count="0" hidden="1"/>
    <cacheHierarchy uniqueName="[Measures].[__XL_Count Table7]" caption="__XL_Count Table7" measure="1" displayFolder="" measureGroup="Table7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Expenses" uniqueName="[Expenses]" caption="Expenses"/>
    <dimension name="Manager_Questions" uniqueName="[Manager_Questions]" caption="Manager_Questions"/>
    <dimension measure="1" name="Measures" uniqueName="[Measures]" caption="Measures"/>
    <dimension name="Purchases" uniqueName="[Purchases]" caption="Purchases"/>
    <dimension name="Raw_Sales" uniqueName="[Raw_Sales]" caption="Raw_Sales"/>
    <dimension name="Table7" uniqueName="[Table7]" caption="Table7"/>
  </dimensions>
  <measureGroups count="6">
    <measureGroup name="Customers" caption="Customers"/>
    <measureGroup name="Expenses" caption="Expenses"/>
    <measureGroup name="Manager_Questions" caption="Manager_Questions"/>
    <measureGroup name="Purchases" caption="Purchases"/>
    <measureGroup name="Raw_Sales" caption="Raw_Sales"/>
    <measureGroup name="Table7" caption="Table7"/>
  </measureGroups>
  <maps count="7">
    <map measureGroup="0" dimension="0"/>
    <map measureGroup="1" dimension="1"/>
    <map measureGroup="2" dimension="2"/>
    <map measureGroup="3" dimension="4"/>
    <map measureGroup="4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aris patel" refreshedDate="46270.652408449074" backgroundQuery="1" createdVersion="8" refreshedVersion="8" minRefreshableVersion="3" recordCount="0" supportSubquery="1" supportAdvancedDrill="1" xr:uid="{D9C3D019-412E-4661-95EA-2249C44EF4F6}">
  <cacheSource type="external" connectionId="6"/>
  <cacheFields count="3">
    <cacheField name="[Raw_Sales].[Month Name].[Month Name]" caption="Month Name" numFmtId="0" hierarchy="21" level="1">
      <sharedItems count="8">
        <s v="April"/>
        <s v="August"/>
        <s v="February"/>
        <s v="January"/>
        <s v="July"/>
        <s v="June"/>
        <s v="March"/>
        <s v="May"/>
      </sharedItems>
    </cacheField>
    <cacheField name="[Raw_Sales].[Salesperson].[Salesperson]" caption="Salesperson" numFmtId="0" hierarchy="32" level="1">
      <sharedItems count="6">
        <s v=" Neha"/>
        <s v="Amit"/>
        <s v="Neha"/>
        <s v="Priya"/>
        <s v="Rohit"/>
        <s v="Sandeep"/>
      </sharedItems>
    </cacheField>
    <cacheField name="[Measures].[Sum of Gross Sales]" caption="Sum of Gross Sales" numFmtId="0" hierarchy="41" level="32767"/>
  </cacheFields>
  <cacheHierarchies count="63">
    <cacheHierarchy uniqueName="[Customers].[Column1]" caption="Column1" attribute="1" defaultMemberUniqueName="[Customers].[Column1].[All]" allUniqueName="[Customers].[Column1].[All]" dimensionUniqueName="[Customers]" displayFolder="" count="0" memberValueDatatype="130" unbalanced="0"/>
    <cacheHierarchy uniqueName="[Customers].[Column2]" caption="Column2" attribute="1" defaultMemberUniqueName="[Customers].[Column2].[All]" allUniqueName="[Customers].[Column2].[All]" dimensionUniqueName="[Customers]" displayFolder="" count="0" memberValueDatatype="130" unbalanced="0"/>
    <cacheHierarchy uniqueName="[Customers].[Column3]" caption="Column3" attribute="1" defaultMemberUniqueName="[Customers].[Column3].[All]" allUniqueName="[Customers].[Column3].[All]" dimensionUniqueName="[Customers]" displayFolder="" count="0" memberValueDatatype="130" unbalanced="0"/>
    <cacheHierarchy uniqueName="[Expenses].[Expense ID]" caption="Expense ID" attribute="1" defaultMemberUniqueName="[Expenses].[Expense ID].[All]" allUniqueName="[Expenses].[Expense ID].[All]" dimensionUniqueName="[Expenses]" displayFolder="" count="0" memberValueDatatype="130" unbalanced="0"/>
    <cacheHierarchy uniqueName="[Expenses].[Date]" caption="Date" attribute="1" time="1" defaultMemberUniqueName="[Expenses].[Date].[All]" allUniqueName="[Expenses].[Date].[All]" dimensionUniqueName="[Expenses]" displayFolder="" count="0" memberValueDatatype="7" unbalanced="0"/>
    <cacheHierarchy uniqueName="[Expenses].[Expense Category]" caption="Expense Category" attribute="1" defaultMemberUniqueName="[Expenses].[Expense Category].[All]" allUniqueName="[Expenses].[Expense Category].[All]" dimensionUniqueName="[Expenses]" displayFolder="" count="0" memberValueDatatype="130" unbalanced="0"/>
    <cacheHierarchy uniqueName="[Expenses].[Amount]" caption="Amount" attribute="1" defaultMemberUniqueName="[Expenses].[Amount].[All]" allUniqueName="[Expenses].[Amount].[All]" dimensionUniqueName="[Expenses]" displayFolder="" count="0" memberValueDatatype="20" unbalanced="0"/>
    <cacheHierarchy uniqueName="[Expenses].[Store]" caption="Store" attribute="1" defaultMemberUniqueName="[Expenses].[Store].[All]" allUniqueName="[Expenses].[Store].[All]" dimensionUniqueName="[Expenses]" displayFolder="" count="0" memberValueDatatype="130" unbalanced="0"/>
    <cacheHierarchy uniqueName="[Manager_Questions].[No]" caption="No" attribute="1" defaultMemberUniqueName="[Manager_Questions].[No].[All]" allUniqueName="[Manager_Questions].[No].[All]" dimensionUniqueName="[Manager_Questions]" displayFolder="" count="0" memberValueDatatype="20" unbalanced="0"/>
    <cacheHierarchy uniqueName="[Manager_Questions].[Manager Question]" caption="Manager Question" attribute="1" defaultMemberUniqueName="[Manager_Questions].[Manager Question].[All]" allUniqueName="[Manager_Questions].[Manager Question].[All]" dimensionUniqueName="[Manager_Questions]" displayFolder="" count="0" memberValueDatatype="130" unbalanced="0"/>
    <cacheHierarchy uniqueName="[Purchases].[Purchase ID]" caption="Purchase ID" attribute="1" defaultMemberUniqueName="[Purchases].[Purchase ID].[All]" allUniqueName="[Purchases].[Purchase ID].[All]" dimensionUniqueName="[Purchases]" displayFolder="" count="0" memberValueDatatype="130" unbalanced="0"/>
    <cacheHierarchy uniqueName="[Purchases].[Date]" caption="Date" attribute="1" time="1" defaultMemberUniqueName="[Purchases].[Date].[All]" allUniqueName="[Purchases].[Date].[All]" dimensionUniqueName="[Purchases]" displayFolder="" count="0" memberValueDatatype="7" unbalanced="0"/>
    <cacheHierarchy uniqueName="[Purchases].[Product ID]" caption="Product ID" attribute="1" defaultMemberUniqueName="[Purchases].[Product ID].[All]" allUniqueName="[Purchases].[Product ID].[All]" dimensionUniqueName="[Purchases]" displayFolder="" count="0" memberValueDatatype="130" unbalanced="0"/>
    <cacheHierarchy uniqueName="[Purchases].[Product]" caption="Product" attribute="1" defaultMemberUniqueName="[Purchases].[Product].[All]" allUniqueName="[Purchases].[Product].[All]" dimensionUniqueName="[Purchases]" displayFolder="" count="0" memberValueDatatype="130" unbalanced="0"/>
    <cacheHierarchy uniqueName="[Purchases].[Category]" caption="Category" attribute="1" defaultMemberUniqueName="[Purchases].[Category].[All]" allUniqueName="[Purchases].[Category].[All]" dimensionUniqueName="[Purchases]" displayFolder="" count="0" memberValueDatatype="130" unbalanced="0"/>
    <cacheHierarchy uniqueName="[Purchases].[Quantity]" caption="Quantity" attribute="1" defaultMemberUniqueName="[Purchases].[Quantity].[All]" allUniqueName="[Purchases].[Quantity].[All]" dimensionUniqueName="[Purchases]" displayFolder="" count="0" memberValueDatatype="20" unbalanced="0"/>
    <cacheHierarchy uniqueName="[Purchases].[Unit Cost]" caption="Unit Cost" attribute="1" defaultMemberUniqueName="[Purchases].[Unit Cost].[All]" allUniqueName="[Purchases].[Unit Cost].[All]" dimensionUniqueName="[Purchases]" displayFolder="" count="0" memberValueDatatype="5" unbalanced="0"/>
    <cacheHierarchy uniqueName="[Purchases].[Purchase Amount]" caption="Purchase Amount" attribute="1" defaultMemberUniqueName="[Purchases].[Purchase Amount].[All]" allUniqueName="[Purchases].[Purchase Amount].[All]" dimensionUniqueName="[Purchases]" displayFolder="" count="0" memberValueDatatype="5" unbalanced="0"/>
    <cacheHierarchy uniqueName="[Purchases].[Supplier]" caption="Supplier" attribute="1" defaultMemberUniqueName="[Purchases].[Supplier].[All]" allUniqueName="[Purchases].[Supplier].[All]" dimensionUniqueName="[Purchases]" displayFolder="" count="0" memberValueDatatype="130" unbalanced="0"/>
    <cacheHierarchy uniqueName="[Raw_Sales].[Invoice ID]" caption="Invoice ID" attribute="1" defaultMemberUniqueName="[Raw_Sales].[Invoice ID].[All]" allUniqueName="[Raw_Sales].[Invoice ID].[All]" dimensionUniqueName="[Raw_Sales]" displayFolder="" count="0" memberValueDatatype="130" unbalanced="0"/>
    <cacheHierarchy uniqueName="[Raw_Sales].[Date]" caption="Date" attribute="1" time="1" defaultMemberUniqueName="[Raw_Sales].[Date].[All]" allUniqueName="[Raw_Sales].[Date].[All]" dimensionUniqueName="[Raw_Sales]" displayFolder="" count="2" memberValueDatatype="7" unbalanced="0"/>
    <cacheHierarchy uniqueName="[Raw_Sales].[Month Name]" caption="Month Name" attribute="1" defaultMemberUniqueName="[Raw_Sales].[Month Name].[All]" allUniqueName="[Raw_Sales].[Month Name].[All]" dimensionUniqueName="[Raw_Sales]" displayFolder="" count="2" memberValueDatatype="130" unbalanced="0">
      <fieldsUsage count="2">
        <fieldUsage x="-1"/>
        <fieldUsage x="0"/>
      </fieldsUsage>
    </cacheHierarchy>
    <cacheHierarchy uniqueName="[Raw_Sales].[Customer ID]" caption="Customer ID" attribute="1" defaultMemberUniqueName="[Raw_Sales].[Customer ID].[All]" allUniqueName="[Raw_Sales].[Customer ID].[All]" dimensionUniqueName="[Raw_Sales]" displayFolder="" count="0" memberValueDatatype="130" unbalanced="0"/>
    <cacheHierarchy uniqueName="[Raw_Sales].[Product ID]" caption="Product ID" attribute="1" defaultMemberUniqueName="[Raw_Sales].[Product ID].[All]" allUniqueName="[Raw_Sales].[Product ID].[All]" dimensionUniqueName="[Raw_Sales]" displayFolder="" count="0" memberValueDatatype="130" unbalanced="0"/>
    <cacheHierarchy uniqueName="[Raw_Sales].[Product]" caption="Product" attribute="1" defaultMemberUniqueName="[Raw_Sales].[Product].[All]" allUniqueName="[Raw_Sales].[Product].[All]" dimensionUniqueName="[Raw_Sales]" displayFolder="" count="0" memberValueDatatype="130" unbalanced="0"/>
    <cacheHierarchy uniqueName="[Raw_Sales].[Category]" caption="Category" attribute="1" defaultMemberUniqueName="[Raw_Sales].[Category].[All]" allUniqueName="[Raw_Sales].[Category].[All]" dimensionUniqueName="[Raw_Sales]" displayFolder="" count="0" memberValueDatatype="130" unbalanced="0"/>
    <cacheHierarchy uniqueName="[Raw_Sales].[Quantity]" caption="Quantity" attribute="1" defaultMemberUniqueName="[Raw_Sales].[Quantity].[All]" allUniqueName="[Raw_Sales].[Quantity].[All]" dimensionUniqueName="[Raw_Sales]" displayFolder="" count="0" memberValueDatatype="20" unbalanced="0"/>
    <cacheHierarchy uniqueName="[Raw_Sales].[Unit Price]" caption="Unit Price" attribute="1" defaultMemberUniqueName="[Raw_Sales].[Unit Price].[All]" allUniqueName="[Raw_Sales].[Unit Price].[All]" dimensionUniqueName="[Raw_Sales]" displayFolder="" count="0" memberValueDatatype="20" unbalanced="0"/>
    <cacheHierarchy uniqueName="[Raw_Sales].[Discount]" caption="Discount" attribute="1" defaultMemberUniqueName="[Raw_Sales].[Discount].[All]" allUniqueName="[Raw_Sales].[Discount].[All]" dimensionUniqueName="[Raw_Sales]" displayFolder="" count="0" memberValueDatatype="5" unbalanced="0"/>
    <cacheHierarchy uniqueName="[Raw_Sales].[Gross Sales]" caption="Gross Sales" attribute="1" defaultMemberUniqueName="[Raw_Sales].[Gross Sales].[All]" allUniqueName="[Raw_Sales].[Gross Sales].[All]" dimensionUniqueName="[Raw_Sales]" displayFolder="" count="0" memberValueDatatype="5" unbalanced="0"/>
    <cacheHierarchy uniqueName="[Raw_Sales].[COst of Goods]" caption="COst of Goods" attribute="1" defaultMemberUniqueName="[Raw_Sales].[COst of Goods].[All]" allUniqueName="[Raw_Sales].[COst of Goods].[All]" dimensionUniqueName="[Raw_Sales]" displayFolder="" count="0" memberValueDatatype="20" unbalanced="0"/>
    <cacheHierarchy uniqueName="[Raw_Sales].[Gross Profit]" caption="Gross Profit" attribute="1" defaultMemberUniqueName="[Raw_Sales].[Gross Profit].[All]" allUniqueName="[Raw_Sales].[Gross Profit].[All]" dimensionUniqueName="[Raw_Sales]" displayFolder="" count="0" memberValueDatatype="5" unbalanced="0"/>
    <cacheHierarchy uniqueName="[Raw_Sales].[Salesperson]" caption="Salesperson" attribute="1" defaultMemberUniqueName="[Raw_Sales].[Salesperson].[All]" allUniqueName="[Raw_Sales].[Salesperson].[All]" dimensionUniqueName="[Raw_Sales]" displayFolder="" count="2" memberValueDatatype="130" unbalanced="0">
      <fieldsUsage count="2">
        <fieldUsage x="-1"/>
        <fieldUsage x="1"/>
      </fieldsUsage>
    </cacheHierarchy>
    <cacheHierarchy uniqueName="[Raw_Sales].[Store]" caption="Store" attribute="1" defaultMemberUniqueName="[Raw_Sales].[Store].[All]" allUniqueName="[Raw_Sales].[Store].[All]" dimensionUniqueName="[Raw_Sales]" displayFolder="" count="0" memberValueDatatype="130" unbalanced="0"/>
    <cacheHierarchy uniqueName="[Raw_Sales].[City]" caption="City" attribute="1" defaultMemberUniqueName="[Raw_Sales].[City].[All]" allUniqueName="[Raw_Sales].[City].[All]" dimensionUniqueName="[Raw_Sales]" displayFolder="" count="0" memberValueDatatype="130" unbalanced="0"/>
    <cacheHierarchy uniqueName="[Raw_Sales].[Payment Method]" caption="Payment Method" attribute="1" defaultMemberUniqueName="[Raw_Sales].[Payment Method].[All]" allUniqueName="[Raw_Sales].[Payment Method].[All]" dimensionUniqueName="[Raw_Sales]" displayFolder="" count="0" memberValueDatatype="130" unbalanced="0"/>
    <cacheHierarchy uniqueName="[Raw_Sales].[Grossprofit]" caption="Grossprofit" attribute="1" defaultMemberUniqueName="[Raw_Sales].[Grossprofit].[All]" allUniqueName="[Raw_Sales].[Grossprofit].[All]" dimensionUniqueName="[Raw_Sales]" displayFolder="" count="0" memberValueDatatype="5" unbalanced="0"/>
    <cacheHierarchy uniqueName="[Raw_Sales].[Custom]" caption="Custom" attribute="1" defaultMemberUniqueName="[Raw_Sales].[Custom].[All]" allUniqueName="[Raw_Sales].[Custom].[All]" dimensionUniqueName="[Raw_Sales]" displayFolder="" count="0" memberValueDatatype="5" unbalanced="0"/>
    <cacheHierarchy uniqueName="[Table7].[Customer ID]" caption="Customer ID" attribute="1" defaultMemberUniqueName="[Table7].[Customer ID].[All]" allUniqueName="[Table7].[Customer ID].[All]" dimensionUniqueName="[Table7]" displayFolder="" count="0" memberValueDatatype="130" unbalanced="0"/>
    <cacheHierarchy uniqueName="[Table7].[Customer Name]" caption="Customer Name" attribute="1" defaultMemberUniqueName="[Table7].[Customer Name].[All]" allUniqueName="[Table7].[Customer Name].[All]" dimensionUniqueName="[Table7]" displayFolder="" count="0" memberValueDatatype="130" unbalanced="0"/>
    <cacheHierarchy uniqueName="[Table7].[City]" caption="City" attribute="1" defaultMemberUniqueName="[Table7].[City].[All]" allUniqueName="[Table7].[City].[All]" dimensionUniqueName="[Table7]" displayFolder="" count="0" memberValueDatatype="130" unbalanced="0"/>
    <cacheHierarchy uniqueName="[Measures].[Sum of Gross Sales]" caption="Sum of Gross Sales" measure="1" displayFolder="" measureGroup="Raw_Sale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Gross Profit]" caption="Sum of Gross Profit" measure="1" displayFolder="" measureGroup="Raw_Sale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Payment Method]" caption="Count of Payment Method" measure="1" displayFolder="" measureGroup="Raw_Sales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]" caption="Sum of Custom" measure="1" displayFolder="" measureGroup="Raw_Sale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Custom]" caption="Count of Custom" measure="1" displayFolder="" measureGroup="Raw_Sale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Custom]" caption="Average of Custom" measure="1" displayFolder="" measureGroup="Raw_Sale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total gross profit]" caption="total gross profit" measure="1" displayFolder="" measureGroup="Raw_Sales" count="0"/>
    <cacheHierarchy uniqueName="[Measures].[total sales revenue]" caption="total sales revenue" measure="1" displayFolder="" measureGroup="Raw_Sales" count="0"/>
    <cacheHierarchy uniqueName="[Measures].[Measure 1]" caption="Measure 1" measure="1" displayFolder="" measureGroup="Raw_Sales" count="0"/>
    <cacheHierarchy uniqueName="[Measures].[Quntity of invice]" caption="Quntity of invice" measure="1" displayFolder="" measureGroup="Raw_Sales" count="0"/>
    <cacheHierarchy uniqueName="[Measures].[avg order value]" caption="avg order value" measure="1" displayFolder="" measureGroup="Raw_Sales" count="0"/>
    <cacheHierarchy uniqueName="[Measures].[Copy of avg order value]" caption="Copy of avg order value" measure="1" displayFolder="" measureGroup="Raw_Sales" count="0"/>
    <cacheHierarchy uniqueName="[Measures].[Copy of Quntity of invice]" caption="Copy of Quntity of invice" measure="1" displayFolder="" measureGroup="Raw_Sales" count="0"/>
    <cacheHierarchy uniqueName="[Measures].[Copy of total sales revenue]" caption="Copy of total sales revenue" measure="1" displayFolder="" measureGroup="Raw_Sales" count="0"/>
    <cacheHierarchy uniqueName="[Measures].[TOTAL QUANTITY SOLD]" caption="TOTAL QUANTITY SOLD" measure="1" displayFolder="" measureGroup="Raw_Sales" count="0"/>
    <cacheHierarchy uniqueName="[Measures].[__XL_Count Raw_Sales]" caption="__XL_Count Raw_Sales" measure="1" displayFolder="" measureGroup="Raw_Sales" count="0" hidden="1"/>
    <cacheHierarchy uniqueName="[Measures].[__XL_Count Purchases]" caption="__XL_Count Purchases" measure="1" displayFolder="" measureGroup="Purchases" count="0" hidden="1"/>
    <cacheHierarchy uniqueName="[Measures].[__XL_Count Expenses]" caption="__XL_Count Expenses" measure="1" displayFolder="" measureGroup="Expenses" count="0" hidden="1"/>
    <cacheHierarchy uniqueName="[Measures].[__XL_Count Customers]" caption="__XL_Count Customers" measure="1" displayFolder="" measureGroup="Customers" count="0" hidden="1"/>
    <cacheHierarchy uniqueName="[Measures].[__XL_Count Manager_Questions]" caption="__XL_Count Manager_Questions" measure="1" displayFolder="" measureGroup="Manager_Questions" count="0" hidden="1"/>
    <cacheHierarchy uniqueName="[Measures].[__XL_Count Table7]" caption="__XL_Count Table7" measure="1" displayFolder="" measureGroup="Table7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Expenses" uniqueName="[Expenses]" caption="Expenses"/>
    <dimension name="Manager_Questions" uniqueName="[Manager_Questions]" caption="Manager_Questions"/>
    <dimension measure="1" name="Measures" uniqueName="[Measures]" caption="Measures"/>
    <dimension name="Purchases" uniqueName="[Purchases]" caption="Purchases"/>
    <dimension name="Raw_Sales" uniqueName="[Raw_Sales]" caption="Raw_Sales"/>
    <dimension name="Table7" uniqueName="[Table7]" caption="Table7"/>
  </dimensions>
  <measureGroups count="6">
    <measureGroup name="Customers" caption="Customers"/>
    <measureGroup name="Expenses" caption="Expenses"/>
    <measureGroup name="Manager_Questions" caption="Manager_Questions"/>
    <measureGroup name="Purchases" caption="Purchases"/>
    <measureGroup name="Raw_Sales" caption="Raw_Sales"/>
    <measureGroup name="Table7" caption="Table7"/>
  </measureGroups>
  <maps count="7">
    <map measureGroup="0" dimension="0"/>
    <map measureGroup="1" dimension="1"/>
    <map measureGroup="2" dimension="2"/>
    <map measureGroup="3" dimension="4"/>
    <map measureGroup="4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aris patel" refreshedDate="46270.652409953706" backgroundQuery="1" createdVersion="8" refreshedVersion="8" minRefreshableVersion="3" recordCount="0" supportSubquery="1" supportAdvancedDrill="1" xr:uid="{FC1301A0-F454-41AA-B34D-3B45EDB001F2}">
  <cacheSource type="external" connectionId="6"/>
  <cacheFields count="3">
    <cacheField name="[Raw_Sales].[Month Name].[Month Name]" caption="Month Name" numFmtId="0" hierarchy="21" level="1">
      <sharedItems count="8">
        <s v="April"/>
        <s v="August"/>
        <s v="February"/>
        <s v="January"/>
        <s v="July"/>
        <s v="June"/>
        <s v="March"/>
        <s v="May"/>
      </sharedItems>
    </cacheField>
    <cacheField name="[Raw_Sales].[Salesperson].[Salesperson]" caption="Salesperson" numFmtId="0" hierarchy="32" level="1">
      <sharedItems count="6">
        <s v=" Neha"/>
        <s v="Amit"/>
        <s v="Neha"/>
        <s v="Priya"/>
        <s v="Rohit"/>
        <s v="Sandeep"/>
      </sharedItems>
    </cacheField>
    <cacheField name="[Measures].[Sum of Gross Profit]" caption="Sum of Gross Profit" numFmtId="0" hierarchy="42" level="32767"/>
  </cacheFields>
  <cacheHierarchies count="63">
    <cacheHierarchy uniqueName="[Customers].[Column1]" caption="Column1" attribute="1" defaultMemberUniqueName="[Customers].[Column1].[All]" allUniqueName="[Customers].[Column1].[All]" dimensionUniqueName="[Customers]" displayFolder="" count="0" memberValueDatatype="130" unbalanced="0"/>
    <cacheHierarchy uniqueName="[Customers].[Column2]" caption="Column2" attribute="1" defaultMemberUniqueName="[Customers].[Column2].[All]" allUniqueName="[Customers].[Column2].[All]" dimensionUniqueName="[Customers]" displayFolder="" count="0" memberValueDatatype="130" unbalanced="0"/>
    <cacheHierarchy uniqueName="[Customers].[Column3]" caption="Column3" attribute="1" defaultMemberUniqueName="[Customers].[Column3].[All]" allUniqueName="[Customers].[Column3].[All]" dimensionUniqueName="[Customers]" displayFolder="" count="0" memberValueDatatype="130" unbalanced="0"/>
    <cacheHierarchy uniqueName="[Expenses].[Expense ID]" caption="Expense ID" attribute="1" defaultMemberUniqueName="[Expenses].[Expense ID].[All]" allUniqueName="[Expenses].[Expense ID].[All]" dimensionUniqueName="[Expenses]" displayFolder="" count="0" memberValueDatatype="130" unbalanced="0"/>
    <cacheHierarchy uniqueName="[Expenses].[Date]" caption="Date" attribute="1" time="1" defaultMemberUniqueName="[Expenses].[Date].[All]" allUniqueName="[Expenses].[Date].[All]" dimensionUniqueName="[Expenses]" displayFolder="" count="0" memberValueDatatype="7" unbalanced="0"/>
    <cacheHierarchy uniqueName="[Expenses].[Expense Category]" caption="Expense Category" attribute="1" defaultMemberUniqueName="[Expenses].[Expense Category].[All]" allUniqueName="[Expenses].[Expense Category].[All]" dimensionUniqueName="[Expenses]" displayFolder="" count="0" memberValueDatatype="130" unbalanced="0"/>
    <cacheHierarchy uniqueName="[Expenses].[Amount]" caption="Amount" attribute="1" defaultMemberUniqueName="[Expenses].[Amount].[All]" allUniqueName="[Expenses].[Amount].[All]" dimensionUniqueName="[Expenses]" displayFolder="" count="0" memberValueDatatype="20" unbalanced="0"/>
    <cacheHierarchy uniqueName="[Expenses].[Store]" caption="Store" attribute="1" defaultMemberUniqueName="[Expenses].[Store].[All]" allUniqueName="[Expenses].[Store].[All]" dimensionUniqueName="[Expenses]" displayFolder="" count="0" memberValueDatatype="130" unbalanced="0"/>
    <cacheHierarchy uniqueName="[Manager_Questions].[No]" caption="No" attribute="1" defaultMemberUniqueName="[Manager_Questions].[No].[All]" allUniqueName="[Manager_Questions].[No].[All]" dimensionUniqueName="[Manager_Questions]" displayFolder="" count="0" memberValueDatatype="20" unbalanced="0"/>
    <cacheHierarchy uniqueName="[Manager_Questions].[Manager Question]" caption="Manager Question" attribute="1" defaultMemberUniqueName="[Manager_Questions].[Manager Question].[All]" allUniqueName="[Manager_Questions].[Manager Question].[All]" dimensionUniqueName="[Manager_Questions]" displayFolder="" count="0" memberValueDatatype="130" unbalanced="0"/>
    <cacheHierarchy uniqueName="[Purchases].[Purchase ID]" caption="Purchase ID" attribute="1" defaultMemberUniqueName="[Purchases].[Purchase ID].[All]" allUniqueName="[Purchases].[Purchase ID].[All]" dimensionUniqueName="[Purchases]" displayFolder="" count="0" memberValueDatatype="130" unbalanced="0"/>
    <cacheHierarchy uniqueName="[Purchases].[Date]" caption="Date" attribute="1" time="1" defaultMemberUniqueName="[Purchases].[Date].[All]" allUniqueName="[Purchases].[Date].[All]" dimensionUniqueName="[Purchases]" displayFolder="" count="0" memberValueDatatype="7" unbalanced="0"/>
    <cacheHierarchy uniqueName="[Purchases].[Product ID]" caption="Product ID" attribute="1" defaultMemberUniqueName="[Purchases].[Product ID].[All]" allUniqueName="[Purchases].[Product ID].[All]" dimensionUniqueName="[Purchases]" displayFolder="" count="0" memberValueDatatype="130" unbalanced="0"/>
    <cacheHierarchy uniqueName="[Purchases].[Product]" caption="Product" attribute="1" defaultMemberUniqueName="[Purchases].[Product].[All]" allUniqueName="[Purchases].[Product].[All]" dimensionUniqueName="[Purchases]" displayFolder="" count="0" memberValueDatatype="130" unbalanced="0"/>
    <cacheHierarchy uniqueName="[Purchases].[Category]" caption="Category" attribute="1" defaultMemberUniqueName="[Purchases].[Category].[All]" allUniqueName="[Purchases].[Category].[All]" dimensionUniqueName="[Purchases]" displayFolder="" count="0" memberValueDatatype="130" unbalanced="0"/>
    <cacheHierarchy uniqueName="[Purchases].[Quantity]" caption="Quantity" attribute="1" defaultMemberUniqueName="[Purchases].[Quantity].[All]" allUniqueName="[Purchases].[Quantity].[All]" dimensionUniqueName="[Purchases]" displayFolder="" count="0" memberValueDatatype="20" unbalanced="0"/>
    <cacheHierarchy uniqueName="[Purchases].[Unit Cost]" caption="Unit Cost" attribute="1" defaultMemberUniqueName="[Purchases].[Unit Cost].[All]" allUniqueName="[Purchases].[Unit Cost].[All]" dimensionUniqueName="[Purchases]" displayFolder="" count="0" memberValueDatatype="5" unbalanced="0"/>
    <cacheHierarchy uniqueName="[Purchases].[Purchase Amount]" caption="Purchase Amount" attribute="1" defaultMemberUniqueName="[Purchases].[Purchase Amount].[All]" allUniqueName="[Purchases].[Purchase Amount].[All]" dimensionUniqueName="[Purchases]" displayFolder="" count="0" memberValueDatatype="5" unbalanced="0"/>
    <cacheHierarchy uniqueName="[Purchases].[Supplier]" caption="Supplier" attribute="1" defaultMemberUniqueName="[Purchases].[Supplier].[All]" allUniqueName="[Purchases].[Supplier].[All]" dimensionUniqueName="[Purchases]" displayFolder="" count="0" memberValueDatatype="130" unbalanced="0"/>
    <cacheHierarchy uniqueName="[Raw_Sales].[Invoice ID]" caption="Invoice ID" attribute="1" defaultMemberUniqueName="[Raw_Sales].[Invoice ID].[All]" allUniqueName="[Raw_Sales].[Invoice ID].[All]" dimensionUniqueName="[Raw_Sales]" displayFolder="" count="0" memberValueDatatype="130" unbalanced="0"/>
    <cacheHierarchy uniqueName="[Raw_Sales].[Date]" caption="Date" attribute="1" time="1" defaultMemberUniqueName="[Raw_Sales].[Date].[All]" allUniqueName="[Raw_Sales].[Date].[All]" dimensionUniqueName="[Raw_Sales]" displayFolder="" count="2" memberValueDatatype="7" unbalanced="0"/>
    <cacheHierarchy uniqueName="[Raw_Sales].[Month Name]" caption="Month Name" attribute="1" defaultMemberUniqueName="[Raw_Sales].[Month Name].[All]" allUniqueName="[Raw_Sales].[Month Name].[All]" dimensionUniqueName="[Raw_Sales]" displayFolder="" count="2" memberValueDatatype="130" unbalanced="0">
      <fieldsUsage count="2">
        <fieldUsage x="-1"/>
        <fieldUsage x="0"/>
      </fieldsUsage>
    </cacheHierarchy>
    <cacheHierarchy uniqueName="[Raw_Sales].[Customer ID]" caption="Customer ID" attribute="1" defaultMemberUniqueName="[Raw_Sales].[Customer ID].[All]" allUniqueName="[Raw_Sales].[Customer ID].[All]" dimensionUniqueName="[Raw_Sales]" displayFolder="" count="0" memberValueDatatype="130" unbalanced="0"/>
    <cacheHierarchy uniqueName="[Raw_Sales].[Product ID]" caption="Product ID" attribute="1" defaultMemberUniqueName="[Raw_Sales].[Product ID].[All]" allUniqueName="[Raw_Sales].[Product ID].[All]" dimensionUniqueName="[Raw_Sales]" displayFolder="" count="0" memberValueDatatype="130" unbalanced="0"/>
    <cacheHierarchy uniqueName="[Raw_Sales].[Product]" caption="Product" attribute="1" defaultMemberUniqueName="[Raw_Sales].[Product].[All]" allUniqueName="[Raw_Sales].[Product].[All]" dimensionUniqueName="[Raw_Sales]" displayFolder="" count="0" memberValueDatatype="130" unbalanced="0"/>
    <cacheHierarchy uniqueName="[Raw_Sales].[Category]" caption="Category" attribute="1" defaultMemberUniqueName="[Raw_Sales].[Category].[All]" allUniqueName="[Raw_Sales].[Category].[All]" dimensionUniqueName="[Raw_Sales]" displayFolder="" count="0" memberValueDatatype="130" unbalanced="0"/>
    <cacheHierarchy uniqueName="[Raw_Sales].[Quantity]" caption="Quantity" attribute="1" defaultMemberUniqueName="[Raw_Sales].[Quantity].[All]" allUniqueName="[Raw_Sales].[Quantity].[All]" dimensionUniqueName="[Raw_Sales]" displayFolder="" count="0" memberValueDatatype="20" unbalanced="0"/>
    <cacheHierarchy uniqueName="[Raw_Sales].[Unit Price]" caption="Unit Price" attribute="1" defaultMemberUniqueName="[Raw_Sales].[Unit Price].[All]" allUniqueName="[Raw_Sales].[Unit Price].[All]" dimensionUniqueName="[Raw_Sales]" displayFolder="" count="0" memberValueDatatype="20" unbalanced="0"/>
    <cacheHierarchy uniqueName="[Raw_Sales].[Discount]" caption="Discount" attribute="1" defaultMemberUniqueName="[Raw_Sales].[Discount].[All]" allUniqueName="[Raw_Sales].[Discount].[All]" dimensionUniqueName="[Raw_Sales]" displayFolder="" count="0" memberValueDatatype="5" unbalanced="0"/>
    <cacheHierarchy uniqueName="[Raw_Sales].[Gross Sales]" caption="Gross Sales" attribute="1" defaultMemberUniqueName="[Raw_Sales].[Gross Sales].[All]" allUniqueName="[Raw_Sales].[Gross Sales].[All]" dimensionUniqueName="[Raw_Sales]" displayFolder="" count="0" memberValueDatatype="5" unbalanced="0"/>
    <cacheHierarchy uniqueName="[Raw_Sales].[COst of Goods]" caption="COst of Goods" attribute="1" defaultMemberUniqueName="[Raw_Sales].[COst of Goods].[All]" allUniqueName="[Raw_Sales].[COst of Goods].[All]" dimensionUniqueName="[Raw_Sales]" displayFolder="" count="0" memberValueDatatype="20" unbalanced="0"/>
    <cacheHierarchy uniqueName="[Raw_Sales].[Gross Profit]" caption="Gross Profit" attribute="1" defaultMemberUniqueName="[Raw_Sales].[Gross Profit].[All]" allUniqueName="[Raw_Sales].[Gross Profit].[All]" dimensionUniqueName="[Raw_Sales]" displayFolder="" count="0" memberValueDatatype="5" unbalanced="0"/>
    <cacheHierarchy uniqueName="[Raw_Sales].[Salesperson]" caption="Salesperson" attribute="1" defaultMemberUniqueName="[Raw_Sales].[Salesperson].[All]" allUniqueName="[Raw_Sales].[Salesperson].[All]" dimensionUniqueName="[Raw_Sales]" displayFolder="" count="2" memberValueDatatype="130" unbalanced="0">
      <fieldsUsage count="2">
        <fieldUsage x="-1"/>
        <fieldUsage x="1"/>
      </fieldsUsage>
    </cacheHierarchy>
    <cacheHierarchy uniqueName="[Raw_Sales].[Store]" caption="Store" attribute="1" defaultMemberUniqueName="[Raw_Sales].[Store].[All]" allUniqueName="[Raw_Sales].[Store].[All]" dimensionUniqueName="[Raw_Sales]" displayFolder="" count="0" memberValueDatatype="130" unbalanced="0"/>
    <cacheHierarchy uniqueName="[Raw_Sales].[City]" caption="City" attribute="1" defaultMemberUniqueName="[Raw_Sales].[City].[All]" allUniqueName="[Raw_Sales].[City].[All]" dimensionUniqueName="[Raw_Sales]" displayFolder="" count="0" memberValueDatatype="130" unbalanced="0"/>
    <cacheHierarchy uniqueName="[Raw_Sales].[Payment Method]" caption="Payment Method" attribute="1" defaultMemberUniqueName="[Raw_Sales].[Payment Method].[All]" allUniqueName="[Raw_Sales].[Payment Method].[All]" dimensionUniqueName="[Raw_Sales]" displayFolder="" count="0" memberValueDatatype="130" unbalanced="0"/>
    <cacheHierarchy uniqueName="[Raw_Sales].[Grossprofit]" caption="Grossprofit" attribute="1" defaultMemberUniqueName="[Raw_Sales].[Grossprofit].[All]" allUniqueName="[Raw_Sales].[Grossprofit].[All]" dimensionUniqueName="[Raw_Sales]" displayFolder="" count="0" memberValueDatatype="5" unbalanced="0"/>
    <cacheHierarchy uniqueName="[Raw_Sales].[Custom]" caption="Custom" attribute="1" defaultMemberUniqueName="[Raw_Sales].[Custom].[All]" allUniqueName="[Raw_Sales].[Custom].[All]" dimensionUniqueName="[Raw_Sales]" displayFolder="" count="0" memberValueDatatype="5" unbalanced="0"/>
    <cacheHierarchy uniqueName="[Table7].[Customer ID]" caption="Customer ID" attribute="1" defaultMemberUniqueName="[Table7].[Customer ID].[All]" allUniqueName="[Table7].[Customer ID].[All]" dimensionUniqueName="[Table7]" displayFolder="" count="0" memberValueDatatype="130" unbalanced="0"/>
    <cacheHierarchy uniqueName="[Table7].[Customer Name]" caption="Customer Name" attribute="1" defaultMemberUniqueName="[Table7].[Customer Name].[All]" allUniqueName="[Table7].[Customer Name].[All]" dimensionUniqueName="[Table7]" displayFolder="" count="0" memberValueDatatype="130" unbalanced="0"/>
    <cacheHierarchy uniqueName="[Table7].[City]" caption="City" attribute="1" defaultMemberUniqueName="[Table7].[City].[All]" allUniqueName="[Table7].[City].[All]" dimensionUniqueName="[Table7]" displayFolder="" count="0" memberValueDatatype="130" unbalanced="0"/>
    <cacheHierarchy uniqueName="[Measures].[Sum of Gross Sales]" caption="Sum of Gross Sales" measure="1" displayFolder="" measureGroup="Raw_Sale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Gross Profit]" caption="Sum of Gross Profit" measure="1" displayFolder="" measureGroup="Raw_Sale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Payment Method]" caption="Count of Payment Method" measure="1" displayFolder="" measureGroup="Raw_Sales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]" caption="Sum of Custom" measure="1" displayFolder="" measureGroup="Raw_Sale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Custom]" caption="Count of Custom" measure="1" displayFolder="" measureGroup="Raw_Sale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Custom]" caption="Average of Custom" measure="1" displayFolder="" measureGroup="Raw_Sale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total gross profit]" caption="total gross profit" measure="1" displayFolder="" measureGroup="Raw_Sales" count="0"/>
    <cacheHierarchy uniqueName="[Measures].[total sales revenue]" caption="total sales revenue" measure="1" displayFolder="" measureGroup="Raw_Sales" count="0"/>
    <cacheHierarchy uniqueName="[Measures].[Measure 1]" caption="Measure 1" measure="1" displayFolder="" measureGroup="Raw_Sales" count="0"/>
    <cacheHierarchy uniqueName="[Measures].[Quntity of invice]" caption="Quntity of invice" measure="1" displayFolder="" measureGroup="Raw_Sales" count="0"/>
    <cacheHierarchy uniqueName="[Measures].[avg order value]" caption="avg order value" measure="1" displayFolder="" measureGroup="Raw_Sales" count="0"/>
    <cacheHierarchy uniqueName="[Measures].[Copy of avg order value]" caption="Copy of avg order value" measure="1" displayFolder="" measureGroup="Raw_Sales" count="0"/>
    <cacheHierarchy uniqueName="[Measures].[Copy of Quntity of invice]" caption="Copy of Quntity of invice" measure="1" displayFolder="" measureGroup="Raw_Sales" count="0"/>
    <cacheHierarchy uniqueName="[Measures].[Copy of total sales revenue]" caption="Copy of total sales revenue" measure="1" displayFolder="" measureGroup="Raw_Sales" count="0"/>
    <cacheHierarchy uniqueName="[Measures].[TOTAL QUANTITY SOLD]" caption="TOTAL QUANTITY SOLD" measure="1" displayFolder="" measureGroup="Raw_Sales" count="0"/>
    <cacheHierarchy uniqueName="[Measures].[__XL_Count Raw_Sales]" caption="__XL_Count Raw_Sales" measure="1" displayFolder="" measureGroup="Raw_Sales" count="0" hidden="1"/>
    <cacheHierarchy uniqueName="[Measures].[__XL_Count Purchases]" caption="__XL_Count Purchases" measure="1" displayFolder="" measureGroup="Purchases" count="0" hidden="1"/>
    <cacheHierarchy uniqueName="[Measures].[__XL_Count Expenses]" caption="__XL_Count Expenses" measure="1" displayFolder="" measureGroup="Expenses" count="0" hidden="1"/>
    <cacheHierarchy uniqueName="[Measures].[__XL_Count Customers]" caption="__XL_Count Customers" measure="1" displayFolder="" measureGroup="Customers" count="0" hidden="1"/>
    <cacheHierarchy uniqueName="[Measures].[__XL_Count Manager_Questions]" caption="__XL_Count Manager_Questions" measure="1" displayFolder="" measureGroup="Manager_Questions" count="0" hidden="1"/>
    <cacheHierarchy uniqueName="[Measures].[__XL_Count Table7]" caption="__XL_Count Table7" measure="1" displayFolder="" measureGroup="Table7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Expenses" uniqueName="[Expenses]" caption="Expenses"/>
    <dimension name="Manager_Questions" uniqueName="[Manager_Questions]" caption="Manager_Questions"/>
    <dimension measure="1" name="Measures" uniqueName="[Measures]" caption="Measures"/>
    <dimension name="Purchases" uniqueName="[Purchases]" caption="Purchases"/>
    <dimension name="Raw_Sales" uniqueName="[Raw_Sales]" caption="Raw_Sales"/>
    <dimension name="Table7" uniqueName="[Table7]" caption="Table7"/>
  </dimensions>
  <measureGroups count="6">
    <measureGroup name="Customers" caption="Customers"/>
    <measureGroup name="Expenses" caption="Expenses"/>
    <measureGroup name="Manager_Questions" caption="Manager_Questions"/>
    <measureGroup name="Purchases" caption="Purchases"/>
    <measureGroup name="Raw_Sales" caption="Raw_Sales"/>
    <measureGroup name="Table7" caption="Table7"/>
  </measureGroups>
  <maps count="7">
    <map measureGroup="0" dimension="0"/>
    <map measureGroup="1" dimension="1"/>
    <map measureGroup="2" dimension="2"/>
    <map measureGroup="3" dimension="4"/>
    <map measureGroup="4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aris patel" refreshedDate="46270.652411342591" backgroundQuery="1" createdVersion="8" refreshedVersion="8" minRefreshableVersion="3" recordCount="0" supportSubquery="1" supportAdvancedDrill="1" xr:uid="{A66D27B7-EC2C-43D3-A45D-7CBA441BBA66}">
  <cacheSource type="external" connectionId="6"/>
  <cacheFields count="3">
    <cacheField name="[Raw_Sales].[Month Name].[Month Name]" caption="Month Name" numFmtId="0" hierarchy="21" level="1">
      <sharedItems count="8">
        <s v="April"/>
        <s v="August"/>
        <s v="February"/>
        <s v="January"/>
        <s v="July"/>
        <s v="June"/>
        <s v="March"/>
        <s v="May"/>
      </sharedItems>
    </cacheField>
    <cacheField name="[Raw_Sales].[Salesperson].[Salesperson]" caption="Salesperson" numFmtId="0" hierarchy="32" level="1">
      <sharedItems count="1">
        <s v="Amit"/>
      </sharedItems>
    </cacheField>
    <cacheField name="[Measures].[Sum of Gross Profit]" caption="Sum of Gross Profit" numFmtId="0" hierarchy="42" level="32767"/>
  </cacheFields>
  <cacheHierarchies count="63">
    <cacheHierarchy uniqueName="[Customers].[Column1]" caption="Column1" attribute="1" defaultMemberUniqueName="[Customers].[Column1].[All]" allUniqueName="[Customers].[Column1].[All]" dimensionUniqueName="[Customers]" displayFolder="" count="0" memberValueDatatype="130" unbalanced="0"/>
    <cacheHierarchy uniqueName="[Customers].[Column2]" caption="Column2" attribute="1" defaultMemberUniqueName="[Customers].[Column2].[All]" allUniqueName="[Customers].[Column2].[All]" dimensionUniqueName="[Customers]" displayFolder="" count="0" memberValueDatatype="130" unbalanced="0"/>
    <cacheHierarchy uniqueName="[Customers].[Column3]" caption="Column3" attribute="1" defaultMemberUniqueName="[Customers].[Column3].[All]" allUniqueName="[Customers].[Column3].[All]" dimensionUniqueName="[Customers]" displayFolder="" count="0" memberValueDatatype="130" unbalanced="0"/>
    <cacheHierarchy uniqueName="[Expenses].[Expense ID]" caption="Expense ID" attribute="1" defaultMemberUniqueName="[Expenses].[Expense ID].[All]" allUniqueName="[Expenses].[Expense ID].[All]" dimensionUniqueName="[Expenses]" displayFolder="" count="0" memberValueDatatype="130" unbalanced="0"/>
    <cacheHierarchy uniqueName="[Expenses].[Date]" caption="Date" attribute="1" time="1" defaultMemberUniqueName="[Expenses].[Date].[All]" allUniqueName="[Expenses].[Date].[All]" dimensionUniqueName="[Expenses]" displayFolder="" count="0" memberValueDatatype="7" unbalanced="0"/>
    <cacheHierarchy uniqueName="[Expenses].[Expense Category]" caption="Expense Category" attribute="1" defaultMemberUniqueName="[Expenses].[Expense Category].[All]" allUniqueName="[Expenses].[Expense Category].[All]" dimensionUniqueName="[Expenses]" displayFolder="" count="0" memberValueDatatype="130" unbalanced="0"/>
    <cacheHierarchy uniqueName="[Expenses].[Amount]" caption="Amount" attribute="1" defaultMemberUniqueName="[Expenses].[Amount].[All]" allUniqueName="[Expenses].[Amount].[All]" dimensionUniqueName="[Expenses]" displayFolder="" count="0" memberValueDatatype="20" unbalanced="0"/>
    <cacheHierarchy uniqueName="[Expenses].[Store]" caption="Store" attribute="1" defaultMemberUniqueName="[Expenses].[Store].[All]" allUniqueName="[Expenses].[Store].[All]" dimensionUniqueName="[Expenses]" displayFolder="" count="0" memberValueDatatype="130" unbalanced="0"/>
    <cacheHierarchy uniqueName="[Manager_Questions].[No]" caption="No" attribute="1" defaultMemberUniqueName="[Manager_Questions].[No].[All]" allUniqueName="[Manager_Questions].[No].[All]" dimensionUniqueName="[Manager_Questions]" displayFolder="" count="0" memberValueDatatype="20" unbalanced="0"/>
    <cacheHierarchy uniqueName="[Manager_Questions].[Manager Question]" caption="Manager Question" attribute="1" defaultMemberUniqueName="[Manager_Questions].[Manager Question].[All]" allUniqueName="[Manager_Questions].[Manager Question].[All]" dimensionUniqueName="[Manager_Questions]" displayFolder="" count="0" memberValueDatatype="130" unbalanced="0"/>
    <cacheHierarchy uniqueName="[Purchases].[Purchase ID]" caption="Purchase ID" attribute="1" defaultMemberUniqueName="[Purchases].[Purchase ID].[All]" allUniqueName="[Purchases].[Purchase ID].[All]" dimensionUniqueName="[Purchases]" displayFolder="" count="0" memberValueDatatype="130" unbalanced="0"/>
    <cacheHierarchy uniqueName="[Purchases].[Date]" caption="Date" attribute="1" time="1" defaultMemberUniqueName="[Purchases].[Date].[All]" allUniqueName="[Purchases].[Date].[All]" dimensionUniqueName="[Purchases]" displayFolder="" count="0" memberValueDatatype="7" unbalanced="0"/>
    <cacheHierarchy uniqueName="[Purchases].[Product ID]" caption="Product ID" attribute="1" defaultMemberUniqueName="[Purchases].[Product ID].[All]" allUniqueName="[Purchases].[Product ID].[All]" dimensionUniqueName="[Purchases]" displayFolder="" count="0" memberValueDatatype="130" unbalanced="0"/>
    <cacheHierarchy uniqueName="[Purchases].[Product]" caption="Product" attribute="1" defaultMemberUniqueName="[Purchases].[Product].[All]" allUniqueName="[Purchases].[Product].[All]" dimensionUniqueName="[Purchases]" displayFolder="" count="0" memberValueDatatype="130" unbalanced="0"/>
    <cacheHierarchy uniqueName="[Purchases].[Category]" caption="Category" attribute="1" defaultMemberUniqueName="[Purchases].[Category].[All]" allUniqueName="[Purchases].[Category].[All]" dimensionUniqueName="[Purchases]" displayFolder="" count="0" memberValueDatatype="130" unbalanced="0"/>
    <cacheHierarchy uniqueName="[Purchases].[Quantity]" caption="Quantity" attribute="1" defaultMemberUniqueName="[Purchases].[Quantity].[All]" allUniqueName="[Purchases].[Quantity].[All]" dimensionUniqueName="[Purchases]" displayFolder="" count="0" memberValueDatatype="20" unbalanced="0"/>
    <cacheHierarchy uniqueName="[Purchases].[Unit Cost]" caption="Unit Cost" attribute="1" defaultMemberUniqueName="[Purchases].[Unit Cost].[All]" allUniqueName="[Purchases].[Unit Cost].[All]" dimensionUniqueName="[Purchases]" displayFolder="" count="0" memberValueDatatype="5" unbalanced="0"/>
    <cacheHierarchy uniqueName="[Purchases].[Purchase Amount]" caption="Purchase Amount" attribute="1" defaultMemberUniqueName="[Purchases].[Purchase Amount].[All]" allUniqueName="[Purchases].[Purchase Amount].[All]" dimensionUniqueName="[Purchases]" displayFolder="" count="0" memberValueDatatype="5" unbalanced="0"/>
    <cacheHierarchy uniqueName="[Purchases].[Supplier]" caption="Supplier" attribute="1" defaultMemberUniqueName="[Purchases].[Supplier].[All]" allUniqueName="[Purchases].[Supplier].[All]" dimensionUniqueName="[Purchases]" displayFolder="" count="0" memberValueDatatype="130" unbalanced="0"/>
    <cacheHierarchy uniqueName="[Raw_Sales].[Invoice ID]" caption="Invoice ID" attribute="1" defaultMemberUniqueName="[Raw_Sales].[Invoice ID].[All]" allUniqueName="[Raw_Sales].[Invoice ID].[All]" dimensionUniqueName="[Raw_Sales]" displayFolder="" count="0" memberValueDatatype="130" unbalanced="0"/>
    <cacheHierarchy uniqueName="[Raw_Sales].[Date]" caption="Date" attribute="1" time="1" defaultMemberUniqueName="[Raw_Sales].[Date].[All]" allUniqueName="[Raw_Sales].[Date].[All]" dimensionUniqueName="[Raw_Sales]" displayFolder="" count="2" memberValueDatatype="7" unbalanced="0"/>
    <cacheHierarchy uniqueName="[Raw_Sales].[Month Name]" caption="Month Name" attribute="1" defaultMemberUniqueName="[Raw_Sales].[Month Name].[All]" allUniqueName="[Raw_Sales].[Month Name].[All]" dimensionUniqueName="[Raw_Sales]" displayFolder="" count="2" memberValueDatatype="130" unbalanced="0">
      <fieldsUsage count="2">
        <fieldUsage x="-1"/>
        <fieldUsage x="0"/>
      </fieldsUsage>
    </cacheHierarchy>
    <cacheHierarchy uniqueName="[Raw_Sales].[Customer ID]" caption="Customer ID" attribute="1" defaultMemberUniqueName="[Raw_Sales].[Customer ID].[All]" allUniqueName="[Raw_Sales].[Customer ID].[All]" dimensionUniqueName="[Raw_Sales]" displayFolder="" count="0" memberValueDatatype="130" unbalanced="0"/>
    <cacheHierarchy uniqueName="[Raw_Sales].[Product ID]" caption="Product ID" attribute="1" defaultMemberUniqueName="[Raw_Sales].[Product ID].[All]" allUniqueName="[Raw_Sales].[Product ID].[All]" dimensionUniqueName="[Raw_Sales]" displayFolder="" count="0" memberValueDatatype="130" unbalanced="0"/>
    <cacheHierarchy uniqueName="[Raw_Sales].[Product]" caption="Product" attribute="1" defaultMemberUniqueName="[Raw_Sales].[Product].[All]" allUniqueName="[Raw_Sales].[Product].[All]" dimensionUniqueName="[Raw_Sales]" displayFolder="" count="0" memberValueDatatype="130" unbalanced="0"/>
    <cacheHierarchy uniqueName="[Raw_Sales].[Category]" caption="Category" attribute="1" defaultMemberUniqueName="[Raw_Sales].[Category].[All]" allUniqueName="[Raw_Sales].[Category].[All]" dimensionUniqueName="[Raw_Sales]" displayFolder="" count="0" memberValueDatatype="130" unbalanced="0"/>
    <cacheHierarchy uniqueName="[Raw_Sales].[Quantity]" caption="Quantity" attribute="1" defaultMemberUniqueName="[Raw_Sales].[Quantity].[All]" allUniqueName="[Raw_Sales].[Quantity].[All]" dimensionUniqueName="[Raw_Sales]" displayFolder="" count="0" memberValueDatatype="20" unbalanced="0"/>
    <cacheHierarchy uniqueName="[Raw_Sales].[Unit Price]" caption="Unit Price" attribute="1" defaultMemberUniqueName="[Raw_Sales].[Unit Price].[All]" allUniqueName="[Raw_Sales].[Unit Price].[All]" dimensionUniqueName="[Raw_Sales]" displayFolder="" count="0" memberValueDatatype="20" unbalanced="0"/>
    <cacheHierarchy uniqueName="[Raw_Sales].[Discount]" caption="Discount" attribute="1" defaultMemberUniqueName="[Raw_Sales].[Discount].[All]" allUniqueName="[Raw_Sales].[Discount].[All]" dimensionUniqueName="[Raw_Sales]" displayFolder="" count="0" memberValueDatatype="5" unbalanced="0"/>
    <cacheHierarchy uniqueName="[Raw_Sales].[Gross Sales]" caption="Gross Sales" attribute="1" defaultMemberUniqueName="[Raw_Sales].[Gross Sales].[All]" allUniqueName="[Raw_Sales].[Gross Sales].[All]" dimensionUniqueName="[Raw_Sales]" displayFolder="" count="0" memberValueDatatype="5" unbalanced="0"/>
    <cacheHierarchy uniqueName="[Raw_Sales].[COst of Goods]" caption="COst of Goods" attribute="1" defaultMemberUniqueName="[Raw_Sales].[COst of Goods].[All]" allUniqueName="[Raw_Sales].[COst of Goods].[All]" dimensionUniqueName="[Raw_Sales]" displayFolder="" count="0" memberValueDatatype="20" unbalanced="0"/>
    <cacheHierarchy uniqueName="[Raw_Sales].[Gross Profit]" caption="Gross Profit" attribute="1" defaultMemberUniqueName="[Raw_Sales].[Gross Profit].[All]" allUniqueName="[Raw_Sales].[Gross Profit].[All]" dimensionUniqueName="[Raw_Sales]" displayFolder="" count="0" memberValueDatatype="5" unbalanced="0"/>
    <cacheHierarchy uniqueName="[Raw_Sales].[Salesperson]" caption="Salesperson" attribute="1" defaultMemberUniqueName="[Raw_Sales].[Salesperson].[All]" allUniqueName="[Raw_Sales].[Salesperson].[All]" dimensionUniqueName="[Raw_Sales]" displayFolder="" count="2" memberValueDatatype="130" unbalanced="0">
      <fieldsUsage count="2">
        <fieldUsage x="-1"/>
        <fieldUsage x="1"/>
      </fieldsUsage>
    </cacheHierarchy>
    <cacheHierarchy uniqueName="[Raw_Sales].[Store]" caption="Store" attribute="1" defaultMemberUniqueName="[Raw_Sales].[Store].[All]" allUniqueName="[Raw_Sales].[Store].[All]" dimensionUniqueName="[Raw_Sales]" displayFolder="" count="0" memberValueDatatype="130" unbalanced="0"/>
    <cacheHierarchy uniqueName="[Raw_Sales].[City]" caption="City" attribute="1" defaultMemberUniqueName="[Raw_Sales].[City].[All]" allUniqueName="[Raw_Sales].[City].[All]" dimensionUniqueName="[Raw_Sales]" displayFolder="" count="0" memberValueDatatype="130" unbalanced="0"/>
    <cacheHierarchy uniqueName="[Raw_Sales].[Payment Method]" caption="Payment Method" attribute="1" defaultMemberUniqueName="[Raw_Sales].[Payment Method].[All]" allUniqueName="[Raw_Sales].[Payment Method].[All]" dimensionUniqueName="[Raw_Sales]" displayFolder="" count="0" memberValueDatatype="130" unbalanced="0"/>
    <cacheHierarchy uniqueName="[Raw_Sales].[Grossprofit]" caption="Grossprofit" attribute="1" defaultMemberUniqueName="[Raw_Sales].[Grossprofit].[All]" allUniqueName="[Raw_Sales].[Grossprofit].[All]" dimensionUniqueName="[Raw_Sales]" displayFolder="" count="0" memberValueDatatype="5" unbalanced="0"/>
    <cacheHierarchy uniqueName="[Raw_Sales].[Custom]" caption="Custom" attribute="1" defaultMemberUniqueName="[Raw_Sales].[Custom].[All]" allUniqueName="[Raw_Sales].[Custom].[All]" dimensionUniqueName="[Raw_Sales]" displayFolder="" count="0" memberValueDatatype="5" unbalanced="0"/>
    <cacheHierarchy uniqueName="[Table7].[Customer ID]" caption="Customer ID" attribute="1" defaultMemberUniqueName="[Table7].[Customer ID].[All]" allUniqueName="[Table7].[Customer ID].[All]" dimensionUniqueName="[Table7]" displayFolder="" count="0" memberValueDatatype="130" unbalanced="0"/>
    <cacheHierarchy uniqueName="[Table7].[Customer Name]" caption="Customer Name" attribute="1" defaultMemberUniqueName="[Table7].[Customer Name].[All]" allUniqueName="[Table7].[Customer Name].[All]" dimensionUniqueName="[Table7]" displayFolder="" count="0" memberValueDatatype="130" unbalanced="0"/>
    <cacheHierarchy uniqueName="[Table7].[City]" caption="City" attribute="1" defaultMemberUniqueName="[Table7].[City].[All]" allUniqueName="[Table7].[City].[All]" dimensionUniqueName="[Table7]" displayFolder="" count="0" memberValueDatatype="130" unbalanced="0"/>
    <cacheHierarchy uniqueName="[Measures].[Sum of Gross Sales]" caption="Sum of Gross Sales" measure="1" displayFolder="" measureGroup="Raw_Sale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Gross Profit]" caption="Sum of Gross Profit" measure="1" displayFolder="" measureGroup="Raw_Sale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Payment Method]" caption="Count of Payment Method" measure="1" displayFolder="" measureGroup="Raw_Sales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]" caption="Sum of Custom" measure="1" displayFolder="" measureGroup="Raw_Sale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Custom]" caption="Count of Custom" measure="1" displayFolder="" measureGroup="Raw_Sale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Custom]" caption="Average of Custom" measure="1" displayFolder="" measureGroup="Raw_Sale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total gross profit]" caption="total gross profit" measure="1" displayFolder="" measureGroup="Raw_Sales" count="0"/>
    <cacheHierarchy uniqueName="[Measures].[total sales revenue]" caption="total sales revenue" measure="1" displayFolder="" measureGroup="Raw_Sales" count="0"/>
    <cacheHierarchy uniqueName="[Measures].[Measure 1]" caption="Measure 1" measure="1" displayFolder="" measureGroup="Raw_Sales" count="0"/>
    <cacheHierarchy uniqueName="[Measures].[Quntity of invice]" caption="Quntity of invice" measure="1" displayFolder="" measureGroup="Raw_Sales" count="0"/>
    <cacheHierarchy uniqueName="[Measures].[avg order value]" caption="avg order value" measure="1" displayFolder="" measureGroup="Raw_Sales" count="0"/>
    <cacheHierarchy uniqueName="[Measures].[Copy of avg order value]" caption="Copy of avg order value" measure="1" displayFolder="" measureGroup="Raw_Sales" count="0"/>
    <cacheHierarchy uniqueName="[Measures].[Copy of Quntity of invice]" caption="Copy of Quntity of invice" measure="1" displayFolder="" measureGroup="Raw_Sales" count="0"/>
    <cacheHierarchy uniqueName="[Measures].[Copy of total sales revenue]" caption="Copy of total sales revenue" measure="1" displayFolder="" measureGroup="Raw_Sales" count="0"/>
    <cacheHierarchy uniqueName="[Measures].[TOTAL QUANTITY SOLD]" caption="TOTAL QUANTITY SOLD" measure="1" displayFolder="" measureGroup="Raw_Sales" count="0"/>
    <cacheHierarchy uniqueName="[Measures].[__XL_Count Raw_Sales]" caption="__XL_Count Raw_Sales" measure="1" displayFolder="" measureGroup="Raw_Sales" count="0" hidden="1"/>
    <cacheHierarchy uniqueName="[Measures].[__XL_Count Purchases]" caption="__XL_Count Purchases" measure="1" displayFolder="" measureGroup="Purchases" count="0" hidden="1"/>
    <cacheHierarchy uniqueName="[Measures].[__XL_Count Expenses]" caption="__XL_Count Expenses" measure="1" displayFolder="" measureGroup="Expenses" count="0" hidden="1"/>
    <cacheHierarchy uniqueName="[Measures].[__XL_Count Customers]" caption="__XL_Count Customers" measure="1" displayFolder="" measureGroup="Customers" count="0" hidden="1"/>
    <cacheHierarchy uniqueName="[Measures].[__XL_Count Manager_Questions]" caption="__XL_Count Manager_Questions" measure="1" displayFolder="" measureGroup="Manager_Questions" count="0" hidden="1"/>
    <cacheHierarchy uniqueName="[Measures].[__XL_Count Table7]" caption="__XL_Count Table7" measure="1" displayFolder="" measureGroup="Table7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Expenses" uniqueName="[Expenses]" caption="Expenses"/>
    <dimension name="Manager_Questions" uniqueName="[Manager_Questions]" caption="Manager_Questions"/>
    <dimension measure="1" name="Measures" uniqueName="[Measures]" caption="Measures"/>
    <dimension name="Purchases" uniqueName="[Purchases]" caption="Purchases"/>
    <dimension name="Raw_Sales" uniqueName="[Raw_Sales]" caption="Raw_Sales"/>
    <dimension name="Table7" uniqueName="[Table7]" caption="Table7"/>
  </dimensions>
  <measureGroups count="6">
    <measureGroup name="Customers" caption="Customers"/>
    <measureGroup name="Expenses" caption="Expenses"/>
    <measureGroup name="Manager_Questions" caption="Manager_Questions"/>
    <measureGroup name="Purchases" caption="Purchases"/>
    <measureGroup name="Raw_Sales" caption="Raw_Sales"/>
    <measureGroup name="Table7" caption="Table7"/>
  </measureGroups>
  <maps count="7">
    <map measureGroup="0" dimension="0"/>
    <map measureGroup="1" dimension="1"/>
    <map measureGroup="2" dimension="2"/>
    <map measureGroup="3" dimension="4"/>
    <map measureGroup="4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aris patel" refreshedDate="46270.652412847223" backgroundQuery="1" createdVersion="8" refreshedVersion="8" minRefreshableVersion="3" recordCount="0" supportSubquery="1" supportAdvancedDrill="1" xr:uid="{EA4C6E65-81DB-4175-AAAB-0F7D80210A0D}">
  <cacheSource type="external" connectionId="6"/>
  <cacheFields count="3">
    <cacheField name="[Raw_Sales].[Month Name].[Month Name]" caption="Month Name" numFmtId="0" hierarchy="21" level="1">
      <sharedItems count="8">
        <s v="April"/>
        <s v="August"/>
        <s v="February"/>
        <s v="January"/>
        <s v="July"/>
        <s v="June"/>
        <s v="March"/>
        <s v="May"/>
      </sharedItems>
    </cacheField>
    <cacheField name="[Raw_Sales].[City].[City]" caption="City" numFmtId="0" hierarchy="34" level="1">
      <sharedItems count="3">
        <s v="Bhopal"/>
        <s v="Indore"/>
        <s v="Jabalpur"/>
      </sharedItems>
    </cacheField>
    <cacheField name="[Measures].[Sum of Gross Sales]" caption="Sum of Gross Sales" numFmtId="0" hierarchy="41" level="32767"/>
  </cacheFields>
  <cacheHierarchies count="63">
    <cacheHierarchy uniqueName="[Customers].[Column1]" caption="Column1" attribute="1" defaultMemberUniqueName="[Customers].[Column1].[All]" allUniqueName="[Customers].[Column1].[All]" dimensionUniqueName="[Customers]" displayFolder="" count="0" memberValueDatatype="130" unbalanced="0"/>
    <cacheHierarchy uniqueName="[Customers].[Column2]" caption="Column2" attribute="1" defaultMemberUniqueName="[Customers].[Column2].[All]" allUniqueName="[Customers].[Column2].[All]" dimensionUniqueName="[Customers]" displayFolder="" count="0" memberValueDatatype="130" unbalanced="0"/>
    <cacheHierarchy uniqueName="[Customers].[Column3]" caption="Column3" attribute="1" defaultMemberUniqueName="[Customers].[Column3].[All]" allUniqueName="[Customers].[Column3].[All]" dimensionUniqueName="[Customers]" displayFolder="" count="0" memberValueDatatype="130" unbalanced="0"/>
    <cacheHierarchy uniqueName="[Expenses].[Expense ID]" caption="Expense ID" attribute="1" defaultMemberUniqueName="[Expenses].[Expense ID].[All]" allUniqueName="[Expenses].[Expense ID].[All]" dimensionUniqueName="[Expenses]" displayFolder="" count="0" memberValueDatatype="130" unbalanced="0"/>
    <cacheHierarchy uniqueName="[Expenses].[Date]" caption="Date" attribute="1" time="1" defaultMemberUniqueName="[Expenses].[Date].[All]" allUniqueName="[Expenses].[Date].[All]" dimensionUniqueName="[Expenses]" displayFolder="" count="0" memberValueDatatype="7" unbalanced="0"/>
    <cacheHierarchy uniqueName="[Expenses].[Expense Category]" caption="Expense Category" attribute="1" defaultMemberUniqueName="[Expenses].[Expense Category].[All]" allUniqueName="[Expenses].[Expense Category].[All]" dimensionUniqueName="[Expenses]" displayFolder="" count="0" memberValueDatatype="130" unbalanced="0"/>
    <cacheHierarchy uniqueName="[Expenses].[Amount]" caption="Amount" attribute="1" defaultMemberUniqueName="[Expenses].[Amount].[All]" allUniqueName="[Expenses].[Amount].[All]" dimensionUniqueName="[Expenses]" displayFolder="" count="0" memberValueDatatype="20" unbalanced="0"/>
    <cacheHierarchy uniqueName="[Expenses].[Store]" caption="Store" attribute="1" defaultMemberUniqueName="[Expenses].[Store].[All]" allUniqueName="[Expenses].[Store].[All]" dimensionUniqueName="[Expenses]" displayFolder="" count="0" memberValueDatatype="130" unbalanced="0"/>
    <cacheHierarchy uniqueName="[Manager_Questions].[No]" caption="No" attribute="1" defaultMemberUniqueName="[Manager_Questions].[No].[All]" allUniqueName="[Manager_Questions].[No].[All]" dimensionUniqueName="[Manager_Questions]" displayFolder="" count="0" memberValueDatatype="20" unbalanced="0"/>
    <cacheHierarchy uniqueName="[Manager_Questions].[Manager Question]" caption="Manager Question" attribute="1" defaultMemberUniqueName="[Manager_Questions].[Manager Question].[All]" allUniqueName="[Manager_Questions].[Manager Question].[All]" dimensionUniqueName="[Manager_Questions]" displayFolder="" count="0" memberValueDatatype="130" unbalanced="0"/>
    <cacheHierarchy uniqueName="[Purchases].[Purchase ID]" caption="Purchase ID" attribute="1" defaultMemberUniqueName="[Purchases].[Purchase ID].[All]" allUniqueName="[Purchases].[Purchase ID].[All]" dimensionUniqueName="[Purchases]" displayFolder="" count="0" memberValueDatatype="130" unbalanced="0"/>
    <cacheHierarchy uniqueName="[Purchases].[Date]" caption="Date" attribute="1" time="1" defaultMemberUniqueName="[Purchases].[Date].[All]" allUniqueName="[Purchases].[Date].[All]" dimensionUniqueName="[Purchases]" displayFolder="" count="0" memberValueDatatype="7" unbalanced="0"/>
    <cacheHierarchy uniqueName="[Purchases].[Product ID]" caption="Product ID" attribute="1" defaultMemberUniqueName="[Purchases].[Product ID].[All]" allUniqueName="[Purchases].[Product ID].[All]" dimensionUniqueName="[Purchases]" displayFolder="" count="0" memberValueDatatype="130" unbalanced="0"/>
    <cacheHierarchy uniqueName="[Purchases].[Product]" caption="Product" attribute="1" defaultMemberUniqueName="[Purchases].[Product].[All]" allUniqueName="[Purchases].[Product].[All]" dimensionUniqueName="[Purchases]" displayFolder="" count="0" memberValueDatatype="130" unbalanced="0"/>
    <cacheHierarchy uniqueName="[Purchases].[Category]" caption="Category" attribute="1" defaultMemberUniqueName="[Purchases].[Category].[All]" allUniqueName="[Purchases].[Category].[All]" dimensionUniqueName="[Purchases]" displayFolder="" count="0" memberValueDatatype="130" unbalanced="0"/>
    <cacheHierarchy uniqueName="[Purchases].[Quantity]" caption="Quantity" attribute="1" defaultMemberUniqueName="[Purchases].[Quantity].[All]" allUniqueName="[Purchases].[Quantity].[All]" dimensionUniqueName="[Purchases]" displayFolder="" count="0" memberValueDatatype="20" unbalanced="0"/>
    <cacheHierarchy uniqueName="[Purchases].[Unit Cost]" caption="Unit Cost" attribute="1" defaultMemberUniqueName="[Purchases].[Unit Cost].[All]" allUniqueName="[Purchases].[Unit Cost].[All]" dimensionUniqueName="[Purchases]" displayFolder="" count="0" memberValueDatatype="5" unbalanced="0"/>
    <cacheHierarchy uniqueName="[Purchases].[Purchase Amount]" caption="Purchase Amount" attribute="1" defaultMemberUniqueName="[Purchases].[Purchase Amount].[All]" allUniqueName="[Purchases].[Purchase Amount].[All]" dimensionUniqueName="[Purchases]" displayFolder="" count="0" memberValueDatatype="5" unbalanced="0"/>
    <cacheHierarchy uniqueName="[Purchases].[Supplier]" caption="Supplier" attribute="1" defaultMemberUniqueName="[Purchases].[Supplier].[All]" allUniqueName="[Purchases].[Supplier].[All]" dimensionUniqueName="[Purchases]" displayFolder="" count="0" memberValueDatatype="130" unbalanced="0"/>
    <cacheHierarchy uniqueName="[Raw_Sales].[Invoice ID]" caption="Invoice ID" attribute="1" defaultMemberUniqueName="[Raw_Sales].[Invoice ID].[All]" allUniqueName="[Raw_Sales].[Invoice ID].[All]" dimensionUniqueName="[Raw_Sales]" displayFolder="" count="0" memberValueDatatype="130" unbalanced="0"/>
    <cacheHierarchy uniqueName="[Raw_Sales].[Date]" caption="Date" attribute="1" time="1" defaultMemberUniqueName="[Raw_Sales].[Date].[All]" allUniqueName="[Raw_Sales].[Date].[All]" dimensionUniqueName="[Raw_Sales]" displayFolder="" count="2" memberValueDatatype="7" unbalanced="0"/>
    <cacheHierarchy uniqueName="[Raw_Sales].[Month Name]" caption="Month Name" attribute="1" defaultMemberUniqueName="[Raw_Sales].[Month Name].[All]" allUniqueName="[Raw_Sales].[Month Name].[All]" dimensionUniqueName="[Raw_Sales]" displayFolder="" count="2" memberValueDatatype="130" unbalanced="0">
      <fieldsUsage count="2">
        <fieldUsage x="-1"/>
        <fieldUsage x="0"/>
      </fieldsUsage>
    </cacheHierarchy>
    <cacheHierarchy uniqueName="[Raw_Sales].[Customer ID]" caption="Customer ID" attribute="1" defaultMemberUniqueName="[Raw_Sales].[Customer ID].[All]" allUniqueName="[Raw_Sales].[Customer ID].[All]" dimensionUniqueName="[Raw_Sales]" displayFolder="" count="0" memberValueDatatype="130" unbalanced="0"/>
    <cacheHierarchy uniqueName="[Raw_Sales].[Product ID]" caption="Product ID" attribute="1" defaultMemberUniqueName="[Raw_Sales].[Product ID].[All]" allUniqueName="[Raw_Sales].[Product ID].[All]" dimensionUniqueName="[Raw_Sales]" displayFolder="" count="0" memberValueDatatype="130" unbalanced="0"/>
    <cacheHierarchy uniqueName="[Raw_Sales].[Product]" caption="Product" attribute="1" defaultMemberUniqueName="[Raw_Sales].[Product].[All]" allUniqueName="[Raw_Sales].[Product].[All]" dimensionUniqueName="[Raw_Sales]" displayFolder="" count="0" memberValueDatatype="130" unbalanced="0"/>
    <cacheHierarchy uniqueName="[Raw_Sales].[Category]" caption="Category" attribute="1" defaultMemberUniqueName="[Raw_Sales].[Category].[All]" allUniqueName="[Raw_Sales].[Category].[All]" dimensionUniqueName="[Raw_Sales]" displayFolder="" count="0" memberValueDatatype="130" unbalanced="0"/>
    <cacheHierarchy uniqueName="[Raw_Sales].[Quantity]" caption="Quantity" attribute="1" defaultMemberUniqueName="[Raw_Sales].[Quantity].[All]" allUniqueName="[Raw_Sales].[Quantity].[All]" dimensionUniqueName="[Raw_Sales]" displayFolder="" count="0" memberValueDatatype="20" unbalanced="0"/>
    <cacheHierarchy uniqueName="[Raw_Sales].[Unit Price]" caption="Unit Price" attribute="1" defaultMemberUniqueName="[Raw_Sales].[Unit Price].[All]" allUniqueName="[Raw_Sales].[Unit Price].[All]" dimensionUniqueName="[Raw_Sales]" displayFolder="" count="0" memberValueDatatype="20" unbalanced="0"/>
    <cacheHierarchy uniqueName="[Raw_Sales].[Discount]" caption="Discount" attribute="1" defaultMemberUniqueName="[Raw_Sales].[Discount].[All]" allUniqueName="[Raw_Sales].[Discount].[All]" dimensionUniqueName="[Raw_Sales]" displayFolder="" count="0" memberValueDatatype="5" unbalanced="0"/>
    <cacheHierarchy uniqueName="[Raw_Sales].[Gross Sales]" caption="Gross Sales" attribute="1" defaultMemberUniqueName="[Raw_Sales].[Gross Sales].[All]" allUniqueName="[Raw_Sales].[Gross Sales].[All]" dimensionUniqueName="[Raw_Sales]" displayFolder="" count="0" memberValueDatatype="5" unbalanced="0"/>
    <cacheHierarchy uniqueName="[Raw_Sales].[COst of Goods]" caption="COst of Goods" attribute="1" defaultMemberUniqueName="[Raw_Sales].[COst of Goods].[All]" allUniqueName="[Raw_Sales].[COst of Goods].[All]" dimensionUniqueName="[Raw_Sales]" displayFolder="" count="0" memberValueDatatype="20" unbalanced="0"/>
    <cacheHierarchy uniqueName="[Raw_Sales].[Gross Profit]" caption="Gross Profit" attribute="1" defaultMemberUniqueName="[Raw_Sales].[Gross Profit].[All]" allUniqueName="[Raw_Sales].[Gross Profit].[All]" dimensionUniqueName="[Raw_Sales]" displayFolder="" count="0" memberValueDatatype="5" unbalanced="0"/>
    <cacheHierarchy uniqueName="[Raw_Sales].[Salesperson]" caption="Salesperson" attribute="1" defaultMemberUniqueName="[Raw_Sales].[Salesperson].[All]" allUniqueName="[Raw_Sales].[Salesperson].[All]" dimensionUniqueName="[Raw_Sales]" displayFolder="" count="0" memberValueDatatype="130" unbalanced="0"/>
    <cacheHierarchy uniqueName="[Raw_Sales].[Store]" caption="Store" attribute="1" defaultMemberUniqueName="[Raw_Sales].[Store].[All]" allUniqueName="[Raw_Sales].[Store].[All]" dimensionUniqueName="[Raw_Sales]" displayFolder="" count="0" memberValueDatatype="130" unbalanced="0"/>
    <cacheHierarchy uniqueName="[Raw_Sales].[City]" caption="City" attribute="1" defaultMemberUniqueName="[Raw_Sales].[City].[All]" allUniqueName="[Raw_Sales].[City].[All]" dimensionUniqueName="[Raw_Sales]" displayFolder="" count="2" memberValueDatatype="130" unbalanced="0">
      <fieldsUsage count="2">
        <fieldUsage x="-1"/>
        <fieldUsage x="1"/>
      </fieldsUsage>
    </cacheHierarchy>
    <cacheHierarchy uniqueName="[Raw_Sales].[Payment Method]" caption="Payment Method" attribute="1" defaultMemberUniqueName="[Raw_Sales].[Payment Method].[All]" allUniqueName="[Raw_Sales].[Payment Method].[All]" dimensionUniqueName="[Raw_Sales]" displayFolder="" count="0" memberValueDatatype="130" unbalanced="0"/>
    <cacheHierarchy uniqueName="[Raw_Sales].[Grossprofit]" caption="Grossprofit" attribute="1" defaultMemberUniqueName="[Raw_Sales].[Grossprofit].[All]" allUniqueName="[Raw_Sales].[Grossprofit].[All]" dimensionUniqueName="[Raw_Sales]" displayFolder="" count="0" memberValueDatatype="5" unbalanced="0"/>
    <cacheHierarchy uniqueName="[Raw_Sales].[Custom]" caption="Custom" attribute="1" defaultMemberUniqueName="[Raw_Sales].[Custom].[All]" allUniqueName="[Raw_Sales].[Custom].[All]" dimensionUniqueName="[Raw_Sales]" displayFolder="" count="0" memberValueDatatype="5" unbalanced="0"/>
    <cacheHierarchy uniqueName="[Table7].[Customer ID]" caption="Customer ID" attribute="1" defaultMemberUniqueName="[Table7].[Customer ID].[All]" allUniqueName="[Table7].[Customer ID].[All]" dimensionUniqueName="[Table7]" displayFolder="" count="0" memberValueDatatype="130" unbalanced="0"/>
    <cacheHierarchy uniqueName="[Table7].[Customer Name]" caption="Customer Name" attribute="1" defaultMemberUniqueName="[Table7].[Customer Name].[All]" allUniqueName="[Table7].[Customer Name].[All]" dimensionUniqueName="[Table7]" displayFolder="" count="0" memberValueDatatype="130" unbalanced="0"/>
    <cacheHierarchy uniqueName="[Table7].[City]" caption="City" attribute="1" defaultMemberUniqueName="[Table7].[City].[All]" allUniqueName="[Table7].[City].[All]" dimensionUniqueName="[Table7]" displayFolder="" count="0" memberValueDatatype="130" unbalanced="0"/>
    <cacheHierarchy uniqueName="[Measures].[Sum of Gross Sales]" caption="Sum of Gross Sales" measure="1" displayFolder="" measureGroup="Raw_Sale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Gross Profit]" caption="Sum of Gross Profit" measure="1" displayFolder="" measureGroup="Raw_Sale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Payment Method]" caption="Count of Payment Method" measure="1" displayFolder="" measureGroup="Raw_Sales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]" caption="Sum of Custom" measure="1" displayFolder="" measureGroup="Raw_Sale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Custom]" caption="Count of Custom" measure="1" displayFolder="" measureGroup="Raw_Sale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Custom]" caption="Average of Custom" measure="1" displayFolder="" measureGroup="Raw_Sale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total gross profit]" caption="total gross profit" measure="1" displayFolder="" measureGroup="Raw_Sales" count="0"/>
    <cacheHierarchy uniqueName="[Measures].[total sales revenue]" caption="total sales revenue" measure="1" displayFolder="" measureGroup="Raw_Sales" count="0"/>
    <cacheHierarchy uniqueName="[Measures].[Measure 1]" caption="Measure 1" measure="1" displayFolder="" measureGroup="Raw_Sales" count="0"/>
    <cacheHierarchy uniqueName="[Measures].[Quntity of invice]" caption="Quntity of invice" measure="1" displayFolder="" measureGroup="Raw_Sales" count="0"/>
    <cacheHierarchy uniqueName="[Measures].[avg order value]" caption="avg order value" measure="1" displayFolder="" measureGroup="Raw_Sales" count="0"/>
    <cacheHierarchy uniqueName="[Measures].[Copy of avg order value]" caption="Copy of avg order value" measure="1" displayFolder="" measureGroup="Raw_Sales" count="0"/>
    <cacheHierarchy uniqueName="[Measures].[Copy of Quntity of invice]" caption="Copy of Quntity of invice" measure="1" displayFolder="" measureGroup="Raw_Sales" count="0"/>
    <cacheHierarchy uniqueName="[Measures].[Copy of total sales revenue]" caption="Copy of total sales revenue" measure="1" displayFolder="" measureGroup="Raw_Sales" count="0"/>
    <cacheHierarchy uniqueName="[Measures].[TOTAL QUANTITY SOLD]" caption="TOTAL QUANTITY SOLD" measure="1" displayFolder="" measureGroup="Raw_Sales" count="0"/>
    <cacheHierarchy uniqueName="[Measures].[__XL_Count Raw_Sales]" caption="__XL_Count Raw_Sales" measure="1" displayFolder="" measureGroup="Raw_Sales" count="0" hidden="1"/>
    <cacheHierarchy uniqueName="[Measures].[__XL_Count Purchases]" caption="__XL_Count Purchases" measure="1" displayFolder="" measureGroup="Purchases" count="0" hidden="1"/>
    <cacheHierarchy uniqueName="[Measures].[__XL_Count Expenses]" caption="__XL_Count Expenses" measure="1" displayFolder="" measureGroup="Expenses" count="0" hidden="1"/>
    <cacheHierarchy uniqueName="[Measures].[__XL_Count Customers]" caption="__XL_Count Customers" measure="1" displayFolder="" measureGroup="Customers" count="0" hidden="1"/>
    <cacheHierarchy uniqueName="[Measures].[__XL_Count Manager_Questions]" caption="__XL_Count Manager_Questions" measure="1" displayFolder="" measureGroup="Manager_Questions" count="0" hidden="1"/>
    <cacheHierarchy uniqueName="[Measures].[__XL_Count Table7]" caption="__XL_Count Table7" measure="1" displayFolder="" measureGroup="Table7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Expenses" uniqueName="[Expenses]" caption="Expenses"/>
    <dimension name="Manager_Questions" uniqueName="[Manager_Questions]" caption="Manager_Questions"/>
    <dimension measure="1" name="Measures" uniqueName="[Measures]" caption="Measures"/>
    <dimension name="Purchases" uniqueName="[Purchases]" caption="Purchases"/>
    <dimension name="Raw_Sales" uniqueName="[Raw_Sales]" caption="Raw_Sales"/>
    <dimension name="Table7" uniqueName="[Table7]" caption="Table7"/>
  </dimensions>
  <measureGroups count="6">
    <measureGroup name="Customers" caption="Customers"/>
    <measureGroup name="Expenses" caption="Expenses"/>
    <measureGroup name="Manager_Questions" caption="Manager_Questions"/>
    <measureGroup name="Purchases" caption="Purchases"/>
    <measureGroup name="Raw_Sales" caption="Raw_Sales"/>
    <measureGroup name="Table7" caption="Table7"/>
  </measureGroups>
  <maps count="7">
    <map measureGroup="0" dimension="0"/>
    <map measureGroup="1" dimension="1"/>
    <map measureGroup="2" dimension="2"/>
    <map measureGroup="3" dimension="4"/>
    <map measureGroup="4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aris patel" refreshedDate="46270.652414351855" backgroundQuery="1" createdVersion="8" refreshedVersion="8" minRefreshableVersion="3" recordCount="0" supportSubquery="1" supportAdvancedDrill="1" xr:uid="{600F42CC-89CA-4F96-B81F-40373EAF3062}">
  <cacheSource type="external" connectionId="6"/>
  <cacheFields count="3">
    <cacheField name="[Raw_Sales].[Month Name].[Month Name]" caption="Month Name" numFmtId="0" hierarchy="21" level="1">
      <sharedItems count="8">
        <s v="April"/>
        <s v="August"/>
        <s v="February"/>
        <s v="January"/>
        <s v="July"/>
        <s v="June"/>
        <s v="March"/>
        <s v="May"/>
      </sharedItems>
    </cacheField>
    <cacheField name="[Raw_Sales].[City].[City]" caption="City" numFmtId="0" hierarchy="34" level="1">
      <sharedItems count="1">
        <s v="Indore"/>
      </sharedItems>
    </cacheField>
    <cacheField name="[Measures].[Sum of Gross Sales]" caption="Sum of Gross Sales" numFmtId="0" hierarchy="41" level="32767"/>
  </cacheFields>
  <cacheHierarchies count="63">
    <cacheHierarchy uniqueName="[Customers].[Column1]" caption="Column1" attribute="1" defaultMemberUniqueName="[Customers].[Column1].[All]" allUniqueName="[Customers].[Column1].[All]" dimensionUniqueName="[Customers]" displayFolder="" count="0" memberValueDatatype="130" unbalanced="0"/>
    <cacheHierarchy uniqueName="[Customers].[Column2]" caption="Column2" attribute="1" defaultMemberUniqueName="[Customers].[Column2].[All]" allUniqueName="[Customers].[Column2].[All]" dimensionUniqueName="[Customers]" displayFolder="" count="0" memberValueDatatype="130" unbalanced="0"/>
    <cacheHierarchy uniqueName="[Customers].[Column3]" caption="Column3" attribute="1" defaultMemberUniqueName="[Customers].[Column3].[All]" allUniqueName="[Customers].[Column3].[All]" dimensionUniqueName="[Customers]" displayFolder="" count="0" memberValueDatatype="130" unbalanced="0"/>
    <cacheHierarchy uniqueName="[Expenses].[Expense ID]" caption="Expense ID" attribute="1" defaultMemberUniqueName="[Expenses].[Expense ID].[All]" allUniqueName="[Expenses].[Expense ID].[All]" dimensionUniqueName="[Expenses]" displayFolder="" count="0" memberValueDatatype="130" unbalanced="0"/>
    <cacheHierarchy uniqueName="[Expenses].[Date]" caption="Date" attribute="1" time="1" defaultMemberUniqueName="[Expenses].[Date].[All]" allUniqueName="[Expenses].[Date].[All]" dimensionUniqueName="[Expenses]" displayFolder="" count="0" memberValueDatatype="7" unbalanced="0"/>
    <cacheHierarchy uniqueName="[Expenses].[Expense Category]" caption="Expense Category" attribute="1" defaultMemberUniqueName="[Expenses].[Expense Category].[All]" allUniqueName="[Expenses].[Expense Category].[All]" dimensionUniqueName="[Expenses]" displayFolder="" count="0" memberValueDatatype="130" unbalanced="0"/>
    <cacheHierarchy uniqueName="[Expenses].[Amount]" caption="Amount" attribute="1" defaultMemberUniqueName="[Expenses].[Amount].[All]" allUniqueName="[Expenses].[Amount].[All]" dimensionUniqueName="[Expenses]" displayFolder="" count="0" memberValueDatatype="20" unbalanced="0"/>
    <cacheHierarchy uniqueName="[Expenses].[Store]" caption="Store" attribute="1" defaultMemberUniqueName="[Expenses].[Store].[All]" allUniqueName="[Expenses].[Store].[All]" dimensionUniqueName="[Expenses]" displayFolder="" count="0" memberValueDatatype="130" unbalanced="0"/>
    <cacheHierarchy uniqueName="[Manager_Questions].[No]" caption="No" attribute="1" defaultMemberUniqueName="[Manager_Questions].[No].[All]" allUniqueName="[Manager_Questions].[No].[All]" dimensionUniqueName="[Manager_Questions]" displayFolder="" count="0" memberValueDatatype="20" unbalanced="0"/>
    <cacheHierarchy uniqueName="[Manager_Questions].[Manager Question]" caption="Manager Question" attribute="1" defaultMemberUniqueName="[Manager_Questions].[Manager Question].[All]" allUniqueName="[Manager_Questions].[Manager Question].[All]" dimensionUniqueName="[Manager_Questions]" displayFolder="" count="0" memberValueDatatype="130" unbalanced="0"/>
    <cacheHierarchy uniqueName="[Purchases].[Purchase ID]" caption="Purchase ID" attribute="1" defaultMemberUniqueName="[Purchases].[Purchase ID].[All]" allUniqueName="[Purchases].[Purchase ID].[All]" dimensionUniqueName="[Purchases]" displayFolder="" count="0" memberValueDatatype="130" unbalanced="0"/>
    <cacheHierarchy uniqueName="[Purchases].[Date]" caption="Date" attribute="1" time="1" defaultMemberUniqueName="[Purchases].[Date].[All]" allUniqueName="[Purchases].[Date].[All]" dimensionUniqueName="[Purchases]" displayFolder="" count="0" memberValueDatatype="7" unbalanced="0"/>
    <cacheHierarchy uniqueName="[Purchases].[Product ID]" caption="Product ID" attribute="1" defaultMemberUniqueName="[Purchases].[Product ID].[All]" allUniqueName="[Purchases].[Product ID].[All]" dimensionUniqueName="[Purchases]" displayFolder="" count="0" memberValueDatatype="130" unbalanced="0"/>
    <cacheHierarchy uniqueName="[Purchases].[Product]" caption="Product" attribute="1" defaultMemberUniqueName="[Purchases].[Product].[All]" allUniqueName="[Purchases].[Product].[All]" dimensionUniqueName="[Purchases]" displayFolder="" count="0" memberValueDatatype="130" unbalanced="0"/>
    <cacheHierarchy uniqueName="[Purchases].[Category]" caption="Category" attribute="1" defaultMemberUniqueName="[Purchases].[Category].[All]" allUniqueName="[Purchases].[Category].[All]" dimensionUniqueName="[Purchases]" displayFolder="" count="0" memberValueDatatype="130" unbalanced="0"/>
    <cacheHierarchy uniqueName="[Purchases].[Quantity]" caption="Quantity" attribute="1" defaultMemberUniqueName="[Purchases].[Quantity].[All]" allUniqueName="[Purchases].[Quantity].[All]" dimensionUniqueName="[Purchases]" displayFolder="" count="0" memberValueDatatype="20" unbalanced="0"/>
    <cacheHierarchy uniqueName="[Purchases].[Unit Cost]" caption="Unit Cost" attribute="1" defaultMemberUniqueName="[Purchases].[Unit Cost].[All]" allUniqueName="[Purchases].[Unit Cost].[All]" dimensionUniqueName="[Purchases]" displayFolder="" count="0" memberValueDatatype="5" unbalanced="0"/>
    <cacheHierarchy uniqueName="[Purchases].[Purchase Amount]" caption="Purchase Amount" attribute="1" defaultMemberUniqueName="[Purchases].[Purchase Amount].[All]" allUniqueName="[Purchases].[Purchase Amount].[All]" dimensionUniqueName="[Purchases]" displayFolder="" count="0" memberValueDatatype="5" unbalanced="0"/>
    <cacheHierarchy uniqueName="[Purchases].[Supplier]" caption="Supplier" attribute="1" defaultMemberUniqueName="[Purchases].[Supplier].[All]" allUniqueName="[Purchases].[Supplier].[All]" dimensionUniqueName="[Purchases]" displayFolder="" count="0" memberValueDatatype="130" unbalanced="0"/>
    <cacheHierarchy uniqueName="[Raw_Sales].[Invoice ID]" caption="Invoice ID" attribute="1" defaultMemberUniqueName="[Raw_Sales].[Invoice ID].[All]" allUniqueName="[Raw_Sales].[Invoice ID].[All]" dimensionUniqueName="[Raw_Sales]" displayFolder="" count="0" memberValueDatatype="130" unbalanced="0"/>
    <cacheHierarchy uniqueName="[Raw_Sales].[Date]" caption="Date" attribute="1" time="1" defaultMemberUniqueName="[Raw_Sales].[Date].[All]" allUniqueName="[Raw_Sales].[Date].[All]" dimensionUniqueName="[Raw_Sales]" displayFolder="" count="2" memberValueDatatype="7" unbalanced="0"/>
    <cacheHierarchy uniqueName="[Raw_Sales].[Month Name]" caption="Month Name" attribute="1" defaultMemberUniqueName="[Raw_Sales].[Month Name].[All]" allUniqueName="[Raw_Sales].[Month Name].[All]" dimensionUniqueName="[Raw_Sales]" displayFolder="" count="2" memberValueDatatype="130" unbalanced="0">
      <fieldsUsage count="2">
        <fieldUsage x="-1"/>
        <fieldUsage x="0"/>
      </fieldsUsage>
    </cacheHierarchy>
    <cacheHierarchy uniqueName="[Raw_Sales].[Customer ID]" caption="Customer ID" attribute="1" defaultMemberUniqueName="[Raw_Sales].[Customer ID].[All]" allUniqueName="[Raw_Sales].[Customer ID].[All]" dimensionUniqueName="[Raw_Sales]" displayFolder="" count="0" memberValueDatatype="130" unbalanced="0"/>
    <cacheHierarchy uniqueName="[Raw_Sales].[Product ID]" caption="Product ID" attribute="1" defaultMemberUniqueName="[Raw_Sales].[Product ID].[All]" allUniqueName="[Raw_Sales].[Product ID].[All]" dimensionUniqueName="[Raw_Sales]" displayFolder="" count="0" memberValueDatatype="130" unbalanced="0"/>
    <cacheHierarchy uniqueName="[Raw_Sales].[Product]" caption="Product" attribute="1" defaultMemberUniqueName="[Raw_Sales].[Product].[All]" allUniqueName="[Raw_Sales].[Product].[All]" dimensionUniqueName="[Raw_Sales]" displayFolder="" count="0" memberValueDatatype="130" unbalanced="0"/>
    <cacheHierarchy uniqueName="[Raw_Sales].[Category]" caption="Category" attribute="1" defaultMemberUniqueName="[Raw_Sales].[Category].[All]" allUniqueName="[Raw_Sales].[Category].[All]" dimensionUniqueName="[Raw_Sales]" displayFolder="" count="0" memberValueDatatype="130" unbalanced="0"/>
    <cacheHierarchy uniqueName="[Raw_Sales].[Quantity]" caption="Quantity" attribute="1" defaultMemberUniqueName="[Raw_Sales].[Quantity].[All]" allUniqueName="[Raw_Sales].[Quantity].[All]" dimensionUniqueName="[Raw_Sales]" displayFolder="" count="0" memberValueDatatype="20" unbalanced="0"/>
    <cacheHierarchy uniqueName="[Raw_Sales].[Unit Price]" caption="Unit Price" attribute="1" defaultMemberUniqueName="[Raw_Sales].[Unit Price].[All]" allUniqueName="[Raw_Sales].[Unit Price].[All]" dimensionUniqueName="[Raw_Sales]" displayFolder="" count="0" memberValueDatatype="20" unbalanced="0"/>
    <cacheHierarchy uniqueName="[Raw_Sales].[Discount]" caption="Discount" attribute="1" defaultMemberUniqueName="[Raw_Sales].[Discount].[All]" allUniqueName="[Raw_Sales].[Discount].[All]" dimensionUniqueName="[Raw_Sales]" displayFolder="" count="0" memberValueDatatype="5" unbalanced="0"/>
    <cacheHierarchy uniqueName="[Raw_Sales].[Gross Sales]" caption="Gross Sales" attribute="1" defaultMemberUniqueName="[Raw_Sales].[Gross Sales].[All]" allUniqueName="[Raw_Sales].[Gross Sales].[All]" dimensionUniqueName="[Raw_Sales]" displayFolder="" count="0" memberValueDatatype="5" unbalanced="0"/>
    <cacheHierarchy uniqueName="[Raw_Sales].[COst of Goods]" caption="COst of Goods" attribute="1" defaultMemberUniqueName="[Raw_Sales].[COst of Goods].[All]" allUniqueName="[Raw_Sales].[COst of Goods].[All]" dimensionUniqueName="[Raw_Sales]" displayFolder="" count="0" memberValueDatatype="20" unbalanced="0"/>
    <cacheHierarchy uniqueName="[Raw_Sales].[Gross Profit]" caption="Gross Profit" attribute="1" defaultMemberUniqueName="[Raw_Sales].[Gross Profit].[All]" allUniqueName="[Raw_Sales].[Gross Profit].[All]" dimensionUniqueName="[Raw_Sales]" displayFolder="" count="0" memberValueDatatype="5" unbalanced="0"/>
    <cacheHierarchy uniqueName="[Raw_Sales].[Salesperson]" caption="Salesperson" attribute="1" defaultMemberUniqueName="[Raw_Sales].[Salesperson].[All]" allUniqueName="[Raw_Sales].[Salesperson].[All]" dimensionUniqueName="[Raw_Sales]" displayFolder="" count="0" memberValueDatatype="130" unbalanced="0"/>
    <cacheHierarchy uniqueName="[Raw_Sales].[Store]" caption="Store" attribute="1" defaultMemberUniqueName="[Raw_Sales].[Store].[All]" allUniqueName="[Raw_Sales].[Store].[All]" dimensionUniqueName="[Raw_Sales]" displayFolder="" count="0" memberValueDatatype="130" unbalanced="0"/>
    <cacheHierarchy uniqueName="[Raw_Sales].[City]" caption="City" attribute="1" defaultMemberUniqueName="[Raw_Sales].[City].[All]" allUniqueName="[Raw_Sales].[City].[All]" dimensionUniqueName="[Raw_Sales]" displayFolder="" count="2" memberValueDatatype="130" unbalanced="0">
      <fieldsUsage count="2">
        <fieldUsage x="-1"/>
        <fieldUsage x="1"/>
      </fieldsUsage>
    </cacheHierarchy>
    <cacheHierarchy uniqueName="[Raw_Sales].[Payment Method]" caption="Payment Method" attribute="1" defaultMemberUniqueName="[Raw_Sales].[Payment Method].[All]" allUniqueName="[Raw_Sales].[Payment Method].[All]" dimensionUniqueName="[Raw_Sales]" displayFolder="" count="0" memberValueDatatype="130" unbalanced="0"/>
    <cacheHierarchy uniqueName="[Raw_Sales].[Grossprofit]" caption="Grossprofit" attribute="1" defaultMemberUniqueName="[Raw_Sales].[Grossprofit].[All]" allUniqueName="[Raw_Sales].[Grossprofit].[All]" dimensionUniqueName="[Raw_Sales]" displayFolder="" count="0" memberValueDatatype="5" unbalanced="0"/>
    <cacheHierarchy uniqueName="[Raw_Sales].[Custom]" caption="Custom" attribute="1" defaultMemberUniqueName="[Raw_Sales].[Custom].[All]" allUniqueName="[Raw_Sales].[Custom].[All]" dimensionUniqueName="[Raw_Sales]" displayFolder="" count="0" memberValueDatatype="5" unbalanced="0"/>
    <cacheHierarchy uniqueName="[Table7].[Customer ID]" caption="Customer ID" attribute="1" defaultMemberUniqueName="[Table7].[Customer ID].[All]" allUniqueName="[Table7].[Customer ID].[All]" dimensionUniqueName="[Table7]" displayFolder="" count="0" memberValueDatatype="130" unbalanced="0"/>
    <cacheHierarchy uniqueName="[Table7].[Customer Name]" caption="Customer Name" attribute="1" defaultMemberUniqueName="[Table7].[Customer Name].[All]" allUniqueName="[Table7].[Customer Name].[All]" dimensionUniqueName="[Table7]" displayFolder="" count="0" memberValueDatatype="130" unbalanced="0"/>
    <cacheHierarchy uniqueName="[Table7].[City]" caption="City" attribute="1" defaultMemberUniqueName="[Table7].[City].[All]" allUniqueName="[Table7].[City].[All]" dimensionUniqueName="[Table7]" displayFolder="" count="0" memberValueDatatype="130" unbalanced="0"/>
    <cacheHierarchy uniqueName="[Measures].[Sum of Gross Sales]" caption="Sum of Gross Sales" measure="1" displayFolder="" measureGroup="Raw_Sale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Gross Profit]" caption="Sum of Gross Profit" measure="1" displayFolder="" measureGroup="Raw_Sale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Payment Method]" caption="Count of Payment Method" measure="1" displayFolder="" measureGroup="Raw_Sales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]" caption="Sum of Custom" measure="1" displayFolder="" measureGroup="Raw_Sale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Custom]" caption="Count of Custom" measure="1" displayFolder="" measureGroup="Raw_Sale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Custom]" caption="Average of Custom" measure="1" displayFolder="" measureGroup="Raw_Sale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total gross profit]" caption="total gross profit" measure="1" displayFolder="" measureGroup="Raw_Sales" count="0"/>
    <cacheHierarchy uniqueName="[Measures].[total sales revenue]" caption="total sales revenue" measure="1" displayFolder="" measureGroup="Raw_Sales" count="0"/>
    <cacheHierarchy uniqueName="[Measures].[Measure 1]" caption="Measure 1" measure="1" displayFolder="" measureGroup="Raw_Sales" count="0"/>
    <cacheHierarchy uniqueName="[Measures].[Quntity of invice]" caption="Quntity of invice" measure="1" displayFolder="" measureGroup="Raw_Sales" count="0"/>
    <cacheHierarchy uniqueName="[Measures].[avg order value]" caption="avg order value" measure="1" displayFolder="" measureGroup="Raw_Sales" count="0"/>
    <cacheHierarchy uniqueName="[Measures].[Copy of avg order value]" caption="Copy of avg order value" measure="1" displayFolder="" measureGroup="Raw_Sales" count="0"/>
    <cacheHierarchy uniqueName="[Measures].[Copy of Quntity of invice]" caption="Copy of Quntity of invice" measure="1" displayFolder="" measureGroup="Raw_Sales" count="0"/>
    <cacheHierarchy uniqueName="[Measures].[Copy of total sales revenue]" caption="Copy of total sales revenue" measure="1" displayFolder="" measureGroup="Raw_Sales" count="0"/>
    <cacheHierarchy uniqueName="[Measures].[TOTAL QUANTITY SOLD]" caption="TOTAL QUANTITY SOLD" measure="1" displayFolder="" measureGroup="Raw_Sales" count="0"/>
    <cacheHierarchy uniqueName="[Measures].[__XL_Count Raw_Sales]" caption="__XL_Count Raw_Sales" measure="1" displayFolder="" measureGroup="Raw_Sales" count="0" hidden="1"/>
    <cacheHierarchy uniqueName="[Measures].[__XL_Count Purchases]" caption="__XL_Count Purchases" measure="1" displayFolder="" measureGroup="Purchases" count="0" hidden="1"/>
    <cacheHierarchy uniqueName="[Measures].[__XL_Count Expenses]" caption="__XL_Count Expenses" measure="1" displayFolder="" measureGroup="Expenses" count="0" hidden="1"/>
    <cacheHierarchy uniqueName="[Measures].[__XL_Count Customers]" caption="__XL_Count Customers" measure="1" displayFolder="" measureGroup="Customers" count="0" hidden="1"/>
    <cacheHierarchy uniqueName="[Measures].[__XL_Count Manager_Questions]" caption="__XL_Count Manager_Questions" measure="1" displayFolder="" measureGroup="Manager_Questions" count="0" hidden="1"/>
    <cacheHierarchy uniqueName="[Measures].[__XL_Count Table7]" caption="__XL_Count Table7" measure="1" displayFolder="" measureGroup="Table7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Expenses" uniqueName="[Expenses]" caption="Expenses"/>
    <dimension name="Manager_Questions" uniqueName="[Manager_Questions]" caption="Manager_Questions"/>
    <dimension measure="1" name="Measures" uniqueName="[Measures]" caption="Measures"/>
    <dimension name="Purchases" uniqueName="[Purchases]" caption="Purchases"/>
    <dimension name="Raw_Sales" uniqueName="[Raw_Sales]" caption="Raw_Sales"/>
    <dimension name="Table7" uniqueName="[Table7]" caption="Table7"/>
  </dimensions>
  <measureGroups count="6">
    <measureGroup name="Customers" caption="Customers"/>
    <measureGroup name="Expenses" caption="Expenses"/>
    <measureGroup name="Manager_Questions" caption="Manager_Questions"/>
    <measureGroup name="Purchases" caption="Purchases"/>
    <measureGroup name="Raw_Sales" caption="Raw_Sales"/>
    <measureGroup name="Table7" caption="Table7"/>
  </measureGroups>
  <maps count="7">
    <map measureGroup="0" dimension="0"/>
    <map measureGroup="1" dimension="1"/>
    <map measureGroup="2" dimension="2"/>
    <map measureGroup="3" dimension="4"/>
    <map measureGroup="4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aris patel" refreshedDate="46270.652415856479" backgroundQuery="1" createdVersion="8" refreshedVersion="8" minRefreshableVersion="3" recordCount="0" supportSubquery="1" supportAdvancedDrill="1" xr:uid="{EB6B733C-F03D-42E3-AE67-A71F12E8F637}">
  <cacheSource type="external" connectionId="6"/>
  <cacheFields count="3">
    <cacheField name="[Raw_Sales].[Month Name].[Month Name]" caption="Month Name" numFmtId="0" hierarchy="21" level="1">
      <sharedItems count="8">
        <s v="April"/>
        <s v="August"/>
        <s v="February"/>
        <s v="January"/>
        <s v="July"/>
        <s v="June"/>
        <s v="March"/>
        <s v="May"/>
      </sharedItems>
    </cacheField>
    <cacheField name="[Measures].[Sum of Gross Sales]" caption="Sum of Gross Sales" numFmtId="0" hierarchy="41" level="32767"/>
    <cacheField name="[Raw_Sales].[Store].[Store]" caption="Store" numFmtId="0" hierarchy="33" level="1">
      <sharedItems count="2">
        <s v="City Store"/>
        <s v="Main Store"/>
      </sharedItems>
    </cacheField>
  </cacheFields>
  <cacheHierarchies count="63">
    <cacheHierarchy uniqueName="[Customers].[Column1]" caption="Column1" attribute="1" defaultMemberUniqueName="[Customers].[Column1].[All]" allUniqueName="[Customers].[Column1].[All]" dimensionUniqueName="[Customers]" displayFolder="" count="0" memberValueDatatype="130" unbalanced="0"/>
    <cacheHierarchy uniqueName="[Customers].[Column2]" caption="Column2" attribute="1" defaultMemberUniqueName="[Customers].[Column2].[All]" allUniqueName="[Customers].[Column2].[All]" dimensionUniqueName="[Customers]" displayFolder="" count="0" memberValueDatatype="130" unbalanced="0"/>
    <cacheHierarchy uniqueName="[Customers].[Column3]" caption="Column3" attribute="1" defaultMemberUniqueName="[Customers].[Column3].[All]" allUniqueName="[Customers].[Column3].[All]" dimensionUniqueName="[Customers]" displayFolder="" count="0" memberValueDatatype="130" unbalanced="0"/>
    <cacheHierarchy uniqueName="[Expenses].[Expense ID]" caption="Expense ID" attribute="1" defaultMemberUniqueName="[Expenses].[Expense ID].[All]" allUniqueName="[Expenses].[Expense ID].[All]" dimensionUniqueName="[Expenses]" displayFolder="" count="0" memberValueDatatype="130" unbalanced="0"/>
    <cacheHierarchy uniqueName="[Expenses].[Date]" caption="Date" attribute="1" time="1" defaultMemberUniqueName="[Expenses].[Date].[All]" allUniqueName="[Expenses].[Date].[All]" dimensionUniqueName="[Expenses]" displayFolder="" count="0" memberValueDatatype="7" unbalanced="0"/>
    <cacheHierarchy uniqueName="[Expenses].[Expense Category]" caption="Expense Category" attribute="1" defaultMemberUniqueName="[Expenses].[Expense Category].[All]" allUniqueName="[Expenses].[Expense Category].[All]" dimensionUniqueName="[Expenses]" displayFolder="" count="0" memberValueDatatype="130" unbalanced="0"/>
    <cacheHierarchy uniqueName="[Expenses].[Amount]" caption="Amount" attribute="1" defaultMemberUniqueName="[Expenses].[Amount].[All]" allUniqueName="[Expenses].[Amount].[All]" dimensionUniqueName="[Expenses]" displayFolder="" count="0" memberValueDatatype="20" unbalanced="0"/>
    <cacheHierarchy uniqueName="[Expenses].[Store]" caption="Store" attribute="1" defaultMemberUniqueName="[Expenses].[Store].[All]" allUniqueName="[Expenses].[Store].[All]" dimensionUniqueName="[Expenses]" displayFolder="" count="0" memberValueDatatype="130" unbalanced="0"/>
    <cacheHierarchy uniqueName="[Manager_Questions].[No]" caption="No" attribute="1" defaultMemberUniqueName="[Manager_Questions].[No].[All]" allUniqueName="[Manager_Questions].[No].[All]" dimensionUniqueName="[Manager_Questions]" displayFolder="" count="0" memberValueDatatype="20" unbalanced="0"/>
    <cacheHierarchy uniqueName="[Manager_Questions].[Manager Question]" caption="Manager Question" attribute="1" defaultMemberUniqueName="[Manager_Questions].[Manager Question].[All]" allUniqueName="[Manager_Questions].[Manager Question].[All]" dimensionUniqueName="[Manager_Questions]" displayFolder="" count="0" memberValueDatatype="130" unbalanced="0"/>
    <cacheHierarchy uniqueName="[Purchases].[Purchase ID]" caption="Purchase ID" attribute="1" defaultMemberUniqueName="[Purchases].[Purchase ID].[All]" allUniqueName="[Purchases].[Purchase ID].[All]" dimensionUniqueName="[Purchases]" displayFolder="" count="0" memberValueDatatype="130" unbalanced="0"/>
    <cacheHierarchy uniqueName="[Purchases].[Date]" caption="Date" attribute="1" time="1" defaultMemberUniqueName="[Purchases].[Date].[All]" allUniqueName="[Purchases].[Date].[All]" dimensionUniqueName="[Purchases]" displayFolder="" count="0" memberValueDatatype="7" unbalanced="0"/>
    <cacheHierarchy uniqueName="[Purchases].[Product ID]" caption="Product ID" attribute="1" defaultMemberUniqueName="[Purchases].[Product ID].[All]" allUniqueName="[Purchases].[Product ID].[All]" dimensionUniqueName="[Purchases]" displayFolder="" count="0" memberValueDatatype="130" unbalanced="0"/>
    <cacheHierarchy uniqueName="[Purchases].[Product]" caption="Product" attribute="1" defaultMemberUniqueName="[Purchases].[Product].[All]" allUniqueName="[Purchases].[Product].[All]" dimensionUniqueName="[Purchases]" displayFolder="" count="0" memberValueDatatype="130" unbalanced="0"/>
    <cacheHierarchy uniqueName="[Purchases].[Category]" caption="Category" attribute="1" defaultMemberUniqueName="[Purchases].[Category].[All]" allUniqueName="[Purchases].[Category].[All]" dimensionUniqueName="[Purchases]" displayFolder="" count="0" memberValueDatatype="130" unbalanced="0"/>
    <cacheHierarchy uniqueName="[Purchases].[Quantity]" caption="Quantity" attribute="1" defaultMemberUniqueName="[Purchases].[Quantity].[All]" allUniqueName="[Purchases].[Quantity].[All]" dimensionUniqueName="[Purchases]" displayFolder="" count="0" memberValueDatatype="20" unbalanced="0"/>
    <cacheHierarchy uniqueName="[Purchases].[Unit Cost]" caption="Unit Cost" attribute="1" defaultMemberUniqueName="[Purchases].[Unit Cost].[All]" allUniqueName="[Purchases].[Unit Cost].[All]" dimensionUniqueName="[Purchases]" displayFolder="" count="0" memberValueDatatype="5" unbalanced="0"/>
    <cacheHierarchy uniqueName="[Purchases].[Purchase Amount]" caption="Purchase Amount" attribute="1" defaultMemberUniqueName="[Purchases].[Purchase Amount].[All]" allUniqueName="[Purchases].[Purchase Amount].[All]" dimensionUniqueName="[Purchases]" displayFolder="" count="0" memberValueDatatype="5" unbalanced="0"/>
    <cacheHierarchy uniqueName="[Purchases].[Supplier]" caption="Supplier" attribute="1" defaultMemberUniqueName="[Purchases].[Supplier].[All]" allUniqueName="[Purchases].[Supplier].[All]" dimensionUniqueName="[Purchases]" displayFolder="" count="0" memberValueDatatype="130" unbalanced="0"/>
    <cacheHierarchy uniqueName="[Raw_Sales].[Invoice ID]" caption="Invoice ID" attribute="1" defaultMemberUniqueName="[Raw_Sales].[Invoice ID].[All]" allUniqueName="[Raw_Sales].[Invoice ID].[All]" dimensionUniqueName="[Raw_Sales]" displayFolder="" count="0" memberValueDatatype="130" unbalanced="0"/>
    <cacheHierarchy uniqueName="[Raw_Sales].[Date]" caption="Date" attribute="1" time="1" defaultMemberUniqueName="[Raw_Sales].[Date].[All]" allUniqueName="[Raw_Sales].[Date].[All]" dimensionUniqueName="[Raw_Sales]" displayFolder="" count="2" memberValueDatatype="7" unbalanced="0"/>
    <cacheHierarchy uniqueName="[Raw_Sales].[Month Name]" caption="Month Name" attribute="1" defaultMemberUniqueName="[Raw_Sales].[Month Name].[All]" allUniqueName="[Raw_Sales].[Month Name].[All]" dimensionUniqueName="[Raw_Sales]" displayFolder="" count="2" memberValueDatatype="130" unbalanced="0">
      <fieldsUsage count="2">
        <fieldUsage x="-1"/>
        <fieldUsage x="0"/>
      </fieldsUsage>
    </cacheHierarchy>
    <cacheHierarchy uniqueName="[Raw_Sales].[Customer ID]" caption="Customer ID" attribute="1" defaultMemberUniqueName="[Raw_Sales].[Customer ID].[All]" allUniqueName="[Raw_Sales].[Customer ID].[All]" dimensionUniqueName="[Raw_Sales]" displayFolder="" count="0" memberValueDatatype="130" unbalanced="0"/>
    <cacheHierarchy uniqueName="[Raw_Sales].[Product ID]" caption="Product ID" attribute="1" defaultMemberUniqueName="[Raw_Sales].[Product ID].[All]" allUniqueName="[Raw_Sales].[Product ID].[All]" dimensionUniqueName="[Raw_Sales]" displayFolder="" count="0" memberValueDatatype="130" unbalanced="0"/>
    <cacheHierarchy uniqueName="[Raw_Sales].[Product]" caption="Product" attribute="1" defaultMemberUniqueName="[Raw_Sales].[Product].[All]" allUniqueName="[Raw_Sales].[Product].[All]" dimensionUniqueName="[Raw_Sales]" displayFolder="" count="0" memberValueDatatype="130" unbalanced="0"/>
    <cacheHierarchy uniqueName="[Raw_Sales].[Category]" caption="Category" attribute="1" defaultMemberUniqueName="[Raw_Sales].[Category].[All]" allUniqueName="[Raw_Sales].[Category].[All]" dimensionUniqueName="[Raw_Sales]" displayFolder="" count="0" memberValueDatatype="130" unbalanced="0"/>
    <cacheHierarchy uniqueName="[Raw_Sales].[Quantity]" caption="Quantity" attribute="1" defaultMemberUniqueName="[Raw_Sales].[Quantity].[All]" allUniqueName="[Raw_Sales].[Quantity].[All]" dimensionUniqueName="[Raw_Sales]" displayFolder="" count="0" memberValueDatatype="20" unbalanced="0"/>
    <cacheHierarchy uniqueName="[Raw_Sales].[Unit Price]" caption="Unit Price" attribute="1" defaultMemberUniqueName="[Raw_Sales].[Unit Price].[All]" allUniqueName="[Raw_Sales].[Unit Price].[All]" dimensionUniqueName="[Raw_Sales]" displayFolder="" count="0" memberValueDatatype="20" unbalanced="0"/>
    <cacheHierarchy uniqueName="[Raw_Sales].[Discount]" caption="Discount" attribute="1" defaultMemberUniqueName="[Raw_Sales].[Discount].[All]" allUniqueName="[Raw_Sales].[Discount].[All]" dimensionUniqueName="[Raw_Sales]" displayFolder="" count="0" memberValueDatatype="5" unbalanced="0"/>
    <cacheHierarchy uniqueName="[Raw_Sales].[Gross Sales]" caption="Gross Sales" attribute="1" defaultMemberUniqueName="[Raw_Sales].[Gross Sales].[All]" allUniqueName="[Raw_Sales].[Gross Sales].[All]" dimensionUniqueName="[Raw_Sales]" displayFolder="" count="0" memberValueDatatype="5" unbalanced="0"/>
    <cacheHierarchy uniqueName="[Raw_Sales].[COst of Goods]" caption="COst of Goods" attribute="1" defaultMemberUniqueName="[Raw_Sales].[COst of Goods].[All]" allUniqueName="[Raw_Sales].[COst of Goods].[All]" dimensionUniqueName="[Raw_Sales]" displayFolder="" count="0" memberValueDatatype="20" unbalanced="0"/>
    <cacheHierarchy uniqueName="[Raw_Sales].[Gross Profit]" caption="Gross Profit" attribute="1" defaultMemberUniqueName="[Raw_Sales].[Gross Profit].[All]" allUniqueName="[Raw_Sales].[Gross Profit].[All]" dimensionUniqueName="[Raw_Sales]" displayFolder="" count="0" memberValueDatatype="5" unbalanced="0"/>
    <cacheHierarchy uniqueName="[Raw_Sales].[Salesperson]" caption="Salesperson" attribute="1" defaultMemberUniqueName="[Raw_Sales].[Salesperson].[All]" allUniqueName="[Raw_Sales].[Salesperson].[All]" dimensionUniqueName="[Raw_Sales]" displayFolder="" count="0" memberValueDatatype="130" unbalanced="0"/>
    <cacheHierarchy uniqueName="[Raw_Sales].[Store]" caption="Store" attribute="1" defaultMemberUniqueName="[Raw_Sales].[Store].[All]" allUniqueName="[Raw_Sales].[Store].[All]" dimensionUniqueName="[Raw_Sales]" displayFolder="" count="2" memberValueDatatype="130" unbalanced="0">
      <fieldsUsage count="2">
        <fieldUsage x="-1"/>
        <fieldUsage x="2"/>
      </fieldsUsage>
    </cacheHierarchy>
    <cacheHierarchy uniqueName="[Raw_Sales].[City]" caption="City" attribute="1" defaultMemberUniqueName="[Raw_Sales].[City].[All]" allUniqueName="[Raw_Sales].[City].[All]" dimensionUniqueName="[Raw_Sales]" displayFolder="" count="0" memberValueDatatype="130" unbalanced="0"/>
    <cacheHierarchy uniqueName="[Raw_Sales].[Payment Method]" caption="Payment Method" attribute="1" defaultMemberUniqueName="[Raw_Sales].[Payment Method].[All]" allUniqueName="[Raw_Sales].[Payment Method].[All]" dimensionUniqueName="[Raw_Sales]" displayFolder="" count="0" memberValueDatatype="130" unbalanced="0"/>
    <cacheHierarchy uniqueName="[Raw_Sales].[Grossprofit]" caption="Grossprofit" attribute="1" defaultMemberUniqueName="[Raw_Sales].[Grossprofit].[All]" allUniqueName="[Raw_Sales].[Grossprofit].[All]" dimensionUniqueName="[Raw_Sales]" displayFolder="" count="0" memberValueDatatype="5" unbalanced="0"/>
    <cacheHierarchy uniqueName="[Raw_Sales].[Custom]" caption="Custom" attribute="1" defaultMemberUniqueName="[Raw_Sales].[Custom].[All]" allUniqueName="[Raw_Sales].[Custom].[All]" dimensionUniqueName="[Raw_Sales]" displayFolder="" count="0" memberValueDatatype="5" unbalanced="0"/>
    <cacheHierarchy uniqueName="[Table7].[Customer ID]" caption="Customer ID" attribute="1" defaultMemberUniqueName="[Table7].[Customer ID].[All]" allUniqueName="[Table7].[Customer ID].[All]" dimensionUniqueName="[Table7]" displayFolder="" count="0" memberValueDatatype="130" unbalanced="0"/>
    <cacheHierarchy uniqueName="[Table7].[Customer Name]" caption="Customer Name" attribute="1" defaultMemberUniqueName="[Table7].[Customer Name].[All]" allUniqueName="[Table7].[Customer Name].[All]" dimensionUniqueName="[Table7]" displayFolder="" count="0" memberValueDatatype="130" unbalanced="0"/>
    <cacheHierarchy uniqueName="[Table7].[City]" caption="City" attribute="1" defaultMemberUniqueName="[Table7].[City].[All]" allUniqueName="[Table7].[City].[All]" dimensionUniqueName="[Table7]" displayFolder="" count="0" memberValueDatatype="130" unbalanced="0"/>
    <cacheHierarchy uniqueName="[Measures].[Sum of Gross Sales]" caption="Sum of Gross Sales" measure="1" displayFolder="" measureGroup="Raw_Sale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Gross Profit]" caption="Sum of Gross Profit" measure="1" displayFolder="" measureGroup="Raw_Sale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Payment Method]" caption="Count of Payment Method" measure="1" displayFolder="" measureGroup="Raw_Sales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]" caption="Sum of Custom" measure="1" displayFolder="" measureGroup="Raw_Sale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Custom]" caption="Count of Custom" measure="1" displayFolder="" measureGroup="Raw_Sale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Custom]" caption="Average of Custom" measure="1" displayFolder="" measureGroup="Raw_Sale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total gross profit]" caption="total gross profit" measure="1" displayFolder="" measureGroup="Raw_Sales" count="0"/>
    <cacheHierarchy uniqueName="[Measures].[total sales revenue]" caption="total sales revenue" measure="1" displayFolder="" measureGroup="Raw_Sales" count="0"/>
    <cacheHierarchy uniqueName="[Measures].[Measure 1]" caption="Measure 1" measure="1" displayFolder="" measureGroup="Raw_Sales" count="0"/>
    <cacheHierarchy uniqueName="[Measures].[Quntity of invice]" caption="Quntity of invice" measure="1" displayFolder="" measureGroup="Raw_Sales" count="0"/>
    <cacheHierarchy uniqueName="[Measures].[avg order value]" caption="avg order value" measure="1" displayFolder="" measureGroup="Raw_Sales" count="0"/>
    <cacheHierarchy uniqueName="[Measures].[Copy of avg order value]" caption="Copy of avg order value" measure="1" displayFolder="" measureGroup="Raw_Sales" count="0"/>
    <cacheHierarchy uniqueName="[Measures].[Copy of Quntity of invice]" caption="Copy of Quntity of invice" measure="1" displayFolder="" measureGroup="Raw_Sales" count="0"/>
    <cacheHierarchy uniqueName="[Measures].[Copy of total sales revenue]" caption="Copy of total sales revenue" measure="1" displayFolder="" measureGroup="Raw_Sales" count="0"/>
    <cacheHierarchy uniqueName="[Measures].[TOTAL QUANTITY SOLD]" caption="TOTAL QUANTITY SOLD" measure="1" displayFolder="" measureGroup="Raw_Sales" count="0"/>
    <cacheHierarchy uniqueName="[Measures].[__XL_Count Raw_Sales]" caption="__XL_Count Raw_Sales" measure="1" displayFolder="" measureGroup="Raw_Sales" count="0" hidden="1"/>
    <cacheHierarchy uniqueName="[Measures].[__XL_Count Purchases]" caption="__XL_Count Purchases" measure="1" displayFolder="" measureGroup="Purchases" count="0" hidden="1"/>
    <cacheHierarchy uniqueName="[Measures].[__XL_Count Expenses]" caption="__XL_Count Expenses" measure="1" displayFolder="" measureGroup="Expenses" count="0" hidden="1"/>
    <cacheHierarchy uniqueName="[Measures].[__XL_Count Customers]" caption="__XL_Count Customers" measure="1" displayFolder="" measureGroup="Customers" count="0" hidden="1"/>
    <cacheHierarchy uniqueName="[Measures].[__XL_Count Manager_Questions]" caption="__XL_Count Manager_Questions" measure="1" displayFolder="" measureGroup="Manager_Questions" count="0" hidden="1"/>
    <cacheHierarchy uniqueName="[Measures].[__XL_Count Table7]" caption="__XL_Count Table7" measure="1" displayFolder="" measureGroup="Table7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Expenses" uniqueName="[Expenses]" caption="Expenses"/>
    <dimension name="Manager_Questions" uniqueName="[Manager_Questions]" caption="Manager_Questions"/>
    <dimension measure="1" name="Measures" uniqueName="[Measures]" caption="Measures"/>
    <dimension name="Purchases" uniqueName="[Purchases]" caption="Purchases"/>
    <dimension name="Raw_Sales" uniqueName="[Raw_Sales]" caption="Raw_Sales"/>
    <dimension name="Table7" uniqueName="[Table7]" caption="Table7"/>
  </dimensions>
  <measureGroups count="6">
    <measureGroup name="Customers" caption="Customers"/>
    <measureGroup name="Expenses" caption="Expenses"/>
    <measureGroup name="Manager_Questions" caption="Manager_Questions"/>
    <measureGroup name="Purchases" caption="Purchases"/>
    <measureGroup name="Raw_Sales" caption="Raw_Sales"/>
    <measureGroup name="Table7" caption="Table7"/>
  </measureGroups>
  <maps count="7">
    <map measureGroup="0" dimension="0"/>
    <map measureGroup="1" dimension="1"/>
    <map measureGroup="2" dimension="2"/>
    <map measureGroup="3" dimension="4"/>
    <map measureGroup="4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aris patel" refreshedDate="46270.652397569444" backgroundQuery="1" createdVersion="3" refreshedVersion="8" minRefreshableVersion="3" recordCount="0" supportSubquery="1" supportAdvancedDrill="1" xr:uid="{4FFE8AC7-946B-4DC4-A528-09BE654D2EEE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63">
    <cacheHierarchy uniqueName="[Customers].[Column1]" caption="Column1" attribute="1" defaultMemberUniqueName="[Customers].[Column1].[All]" allUniqueName="[Customers].[Column1].[All]" dimensionUniqueName="[Customers]" displayFolder="" count="0" memberValueDatatype="130" unbalanced="0"/>
    <cacheHierarchy uniqueName="[Customers].[Column2]" caption="Column2" attribute="1" defaultMemberUniqueName="[Customers].[Column2].[All]" allUniqueName="[Customers].[Column2].[All]" dimensionUniqueName="[Customers]" displayFolder="" count="0" memberValueDatatype="130" unbalanced="0"/>
    <cacheHierarchy uniqueName="[Customers].[Column3]" caption="Column3" attribute="1" defaultMemberUniqueName="[Customers].[Column3].[All]" allUniqueName="[Customers].[Column3].[All]" dimensionUniqueName="[Customers]" displayFolder="" count="0" memberValueDatatype="130" unbalanced="0"/>
    <cacheHierarchy uniqueName="[Expenses].[Expense ID]" caption="Expense ID" attribute="1" defaultMemberUniqueName="[Expenses].[Expense ID].[All]" allUniqueName="[Expenses].[Expense ID].[All]" dimensionUniqueName="[Expenses]" displayFolder="" count="0" memberValueDatatype="130" unbalanced="0"/>
    <cacheHierarchy uniqueName="[Expenses].[Date]" caption="Date" attribute="1" time="1" defaultMemberUniqueName="[Expenses].[Date].[All]" allUniqueName="[Expenses].[Date].[All]" dimensionUniqueName="[Expenses]" displayFolder="" count="0" memberValueDatatype="7" unbalanced="0"/>
    <cacheHierarchy uniqueName="[Expenses].[Expense Category]" caption="Expense Category" attribute="1" defaultMemberUniqueName="[Expenses].[Expense Category].[All]" allUniqueName="[Expenses].[Expense Category].[All]" dimensionUniqueName="[Expenses]" displayFolder="" count="0" memberValueDatatype="130" unbalanced="0"/>
    <cacheHierarchy uniqueName="[Expenses].[Amount]" caption="Amount" attribute="1" defaultMemberUniqueName="[Expenses].[Amount].[All]" allUniqueName="[Expenses].[Amount].[All]" dimensionUniqueName="[Expenses]" displayFolder="" count="0" memberValueDatatype="20" unbalanced="0"/>
    <cacheHierarchy uniqueName="[Expenses].[Store]" caption="Store" attribute="1" defaultMemberUniqueName="[Expenses].[Store].[All]" allUniqueName="[Expenses].[Store].[All]" dimensionUniqueName="[Expenses]" displayFolder="" count="0" memberValueDatatype="130" unbalanced="0"/>
    <cacheHierarchy uniqueName="[Manager_Questions].[No]" caption="No" attribute="1" defaultMemberUniqueName="[Manager_Questions].[No].[All]" allUniqueName="[Manager_Questions].[No].[All]" dimensionUniqueName="[Manager_Questions]" displayFolder="" count="0" memberValueDatatype="20" unbalanced="0"/>
    <cacheHierarchy uniqueName="[Manager_Questions].[Manager Question]" caption="Manager Question" attribute="1" defaultMemberUniqueName="[Manager_Questions].[Manager Question].[All]" allUniqueName="[Manager_Questions].[Manager Question].[All]" dimensionUniqueName="[Manager_Questions]" displayFolder="" count="0" memberValueDatatype="130" unbalanced="0"/>
    <cacheHierarchy uniqueName="[Purchases].[Purchase ID]" caption="Purchase ID" attribute="1" defaultMemberUniqueName="[Purchases].[Purchase ID].[All]" allUniqueName="[Purchases].[Purchase ID].[All]" dimensionUniqueName="[Purchases]" displayFolder="" count="0" memberValueDatatype="130" unbalanced="0"/>
    <cacheHierarchy uniqueName="[Purchases].[Date]" caption="Date" attribute="1" time="1" defaultMemberUniqueName="[Purchases].[Date].[All]" allUniqueName="[Purchases].[Date].[All]" dimensionUniqueName="[Purchases]" displayFolder="" count="0" memberValueDatatype="7" unbalanced="0"/>
    <cacheHierarchy uniqueName="[Purchases].[Product ID]" caption="Product ID" attribute="1" defaultMemberUniqueName="[Purchases].[Product ID].[All]" allUniqueName="[Purchases].[Product ID].[All]" dimensionUniqueName="[Purchases]" displayFolder="" count="0" memberValueDatatype="130" unbalanced="0"/>
    <cacheHierarchy uniqueName="[Purchases].[Product]" caption="Product" attribute="1" defaultMemberUniqueName="[Purchases].[Product].[All]" allUniqueName="[Purchases].[Product].[All]" dimensionUniqueName="[Purchases]" displayFolder="" count="0" memberValueDatatype="130" unbalanced="0"/>
    <cacheHierarchy uniqueName="[Purchases].[Category]" caption="Category" attribute="1" defaultMemberUniqueName="[Purchases].[Category].[All]" allUniqueName="[Purchases].[Category].[All]" dimensionUniqueName="[Purchases]" displayFolder="" count="0" memberValueDatatype="130" unbalanced="0"/>
    <cacheHierarchy uniqueName="[Purchases].[Quantity]" caption="Quantity" attribute="1" defaultMemberUniqueName="[Purchases].[Quantity].[All]" allUniqueName="[Purchases].[Quantity].[All]" dimensionUniqueName="[Purchases]" displayFolder="" count="0" memberValueDatatype="20" unbalanced="0"/>
    <cacheHierarchy uniqueName="[Purchases].[Unit Cost]" caption="Unit Cost" attribute="1" defaultMemberUniqueName="[Purchases].[Unit Cost].[All]" allUniqueName="[Purchases].[Unit Cost].[All]" dimensionUniqueName="[Purchases]" displayFolder="" count="0" memberValueDatatype="5" unbalanced="0"/>
    <cacheHierarchy uniqueName="[Purchases].[Purchase Amount]" caption="Purchase Amount" attribute="1" defaultMemberUniqueName="[Purchases].[Purchase Amount].[All]" allUniqueName="[Purchases].[Purchase Amount].[All]" dimensionUniqueName="[Purchases]" displayFolder="" count="0" memberValueDatatype="5" unbalanced="0"/>
    <cacheHierarchy uniqueName="[Purchases].[Supplier]" caption="Supplier" attribute="1" defaultMemberUniqueName="[Purchases].[Supplier].[All]" allUniqueName="[Purchases].[Supplier].[All]" dimensionUniqueName="[Purchases]" displayFolder="" count="0" memberValueDatatype="130" unbalanced="0"/>
    <cacheHierarchy uniqueName="[Raw_Sales].[Invoice ID]" caption="Invoice ID" attribute="1" defaultMemberUniqueName="[Raw_Sales].[Invoice ID].[All]" allUniqueName="[Raw_Sales].[Invoice ID].[All]" dimensionUniqueName="[Raw_Sales]" displayFolder="" count="0" memberValueDatatype="130" unbalanced="0"/>
    <cacheHierarchy uniqueName="[Raw_Sales].[Date]" caption="Date" attribute="1" time="1" defaultMemberUniqueName="[Raw_Sales].[Date].[All]" allUniqueName="[Raw_Sales].[Date].[All]" dimensionUniqueName="[Raw_Sales]" displayFolder="" count="2" memberValueDatatype="7" unbalanced="0"/>
    <cacheHierarchy uniqueName="[Raw_Sales].[Month Name]" caption="Month Name" attribute="1" defaultMemberUniqueName="[Raw_Sales].[Month Name].[All]" allUniqueName="[Raw_Sales].[Month Name].[All]" dimensionUniqueName="[Raw_Sales]" displayFolder="" count="0" memberValueDatatype="130" unbalanced="0"/>
    <cacheHierarchy uniqueName="[Raw_Sales].[Customer ID]" caption="Customer ID" attribute="1" defaultMemberUniqueName="[Raw_Sales].[Customer ID].[All]" allUniqueName="[Raw_Sales].[Customer ID].[All]" dimensionUniqueName="[Raw_Sales]" displayFolder="" count="0" memberValueDatatype="130" unbalanced="0"/>
    <cacheHierarchy uniqueName="[Raw_Sales].[Product ID]" caption="Product ID" attribute="1" defaultMemberUniqueName="[Raw_Sales].[Product ID].[All]" allUniqueName="[Raw_Sales].[Product ID].[All]" dimensionUniqueName="[Raw_Sales]" displayFolder="" count="0" memberValueDatatype="130" unbalanced="0"/>
    <cacheHierarchy uniqueName="[Raw_Sales].[Product]" caption="Product" attribute="1" defaultMemberUniqueName="[Raw_Sales].[Product].[All]" allUniqueName="[Raw_Sales].[Product].[All]" dimensionUniqueName="[Raw_Sales]" displayFolder="" count="0" memberValueDatatype="130" unbalanced="0"/>
    <cacheHierarchy uniqueName="[Raw_Sales].[Category]" caption="Category" attribute="1" defaultMemberUniqueName="[Raw_Sales].[Category].[All]" allUniqueName="[Raw_Sales].[Category].[All]" dimensionUniqueName="[Raw_Sales]" displayFolder="" count="0" memberValueDatatype="130" unbalanced="0"/>
    <cacheHierarchy uniqueName="[Raw_Sales].[Quantity]" caption="Quantity" attribute="1" defaultMemberUniqueName="[Raw_Sales].[Quantity].[All]" allUniqueName="[Raw_Sales].[Quantity].[All]" dimensionUniqueName="[Raw_Sales]" displayFolder="" count="0" memberValueDatatype="20" unbalanced="0"/>
    <cacheHierarchy uniqueName="[Raw_Sales].[Unit Price]" caption="Unit Price" attribute="1" defaultMemberUniqueName="[Raw_Sales].[Unit Price].[All]" allUniqueName="[Raw_Sales].[Unit Price].[All]" dimensionUniqueName="[Raw_Sales]" displayFolder="" count="0" memberValueDatatype="20" unbalanced="0"/>
    <cacheHierarchy uniqueName="[Raw_Sales].[Discount]" caption="Discount" attribute="1" defaultMemberUniqueName="[Raw_Sales].[Discount].[All]" allUniqueName="[Raw_Sales].[Discount].[All]" dimensionUniqueName="[Raw_Sales]" displayFolder="" count="0" memberValueDatatype="5" unbalanced="0"/>
    <cacheHierarchy uniqueName="[Raw_Sales].[Gross Sales]" caption="Gross Sales" attribute="1" defaultMemberUniqueName="[Raw_Sales].[Gross Sales].[All]" allUniqueName="[Raw_Sales].[Gross Sales].[All]" dimensionUniqueName="[Raw_Sales]" displayFolder="" count="0" memberValueDatatype="5" unbalanced="0"/>
    <cacheHierarchy uniqueName="[Raw_Sales].[COst of Goods]" caption="COst of Goods" attribute="1" defaultMemberUniqueName="[Raw_Sales].[COst of Goods].[All]" allUniqueName="[Raw_Sales].[COst of Goods].[All]" dimensionUniqueName="[Raw_Sales]" displayFolder="" count="0" memberValueDatatype="20" unbalanced="0"/>
    <cacheHierarchy uniqueName="[Raw_Sales].[Gross Profit]" caption="Gross Profit" attribute="1" defaultMemberUniqueName="[Raw_Sales].[Gross Profit].[All]" allUniqueName="[Raw_Sales].[Gross Profit].[All]" dimensionUniqueName="[Raw_Sales]" displayFolder="" count="0" memberValueDatatype="5" unbalanced="0"/>
    <cacheHierarchy uniqueName="[Raw_Sales].[Salesperson]" caption="Salesperson" attribute="1" defaultMemberUniqueName="[Raw_Sales].[Salesperson].[All]" allUniqueName="[Raw_Sales].[Salesperson].[All]" dimensionUniqueName="[Raw_Sales]" displayFolder="" count="0" memberValueDatatype="130" unbalanced="0"/>
    <cacheHierarchy uniqueName="[Raw_Sales].[Store]" caption="Store" attribute="1" defaultMemberUniqueName="[Raw_Sales].[Store].[All]" allUniqueName="[Raw_Sales].[Store].[All]" dimensionUniqueName="[Raw_Sales]" displayFolder="" count="0" memberValueDatatype="130" unbalanced="0"/>
    <cacheHierarchy uniqueName="[Raw_Sales].[City]" caption="City" attribute="1" defaultMemberUniqueName="[Raw_Sales].[City].[All]" allUniqueName="[Raw_Sales].[City].[All]" dimensionUniqueName="[Raw_Sales]" displayFolder="" count="0" memberValueDatatype="130" unbalanced="0"/>
    <cacheHierarchy uniqueName="[Raw_Sales].[Payment Method]" caption="Payment Method" attribute="1" defaultMemberUniqueName="[Raw_Sales].[Payment Method].[All]" allUniqueName="[Raw_Sales].[Payment Method].[All]" dimensionUniqueName="[Raw_Sales]" displayFolder="" count="0" memberValueDatatype="130" unbalanced="0"/>
    <cacheHierarchy uniqueName="[Raw_Sales].[Grossprofit]" caption="Grossprofit" attribute="1" defaultMemberUniqueName="[Raw_Sales].[Grossprofit].[All]" allUniqueName="[Raw_Sales].[Grossprofit].[All]" dimensionUniqueName="[Raw_Sales]" displayFolder="" count="0" memberValueDatatype="5" unbalanced="0"/>
    <cacheHierarchy uniqueName="[Raw_Sales].[Custom]" caption="Custom" attribute="1" defaultMemberUniqueName="[Raw_Sales].[Custom].[All]" allUniqueName="[Raw_Sales].[Custom].[All]" dimensionUniqueName="[Raw_Sales]" displayFolder="" count="0" memberValueDatatype="5" unbalanced="0"/>
    <cacheHierarchy uniqueName="[Table7].[Customer ID]" caption="Customer ID" attribute="1" defaultMemberUniqueName="[Table7].[Customer ID].[All]" allUniqueName="[Table7].[Customer ID].[All]" dimensionUniqueName="[Table7]" displayFolder="" count="0" memberValueDatatype="130" unbalanced="0"/>
    <cacheHierarchy uniqueName="[Table7].[Customer Name]" caption="Customer Name" attribute="1" defaultMemberUniqueName="[Table7].[Customer Name].[All]" allUniqueName="[Table7].[Customer Name].[All]" dimensionUniqueName="[Table7]" displayFolder="" count="0" memberValueDatatype="130" unbalanced="0"/>
    <cacheHierarchy uniqueName="[Table7].[City]" caption="City" attribute="1" defaultMemberUniqueName="[Table7].[City].[All]" allUniqueName="[Table7].[City].[All]" dimensionUniqueName="[Table7]" displayFolder="" count="0" memberValueDatatype="130" unbalanced="0"/>
    <cacheHierarchy uniqueName="[Measures].[Sum of Gross Sales]" caption="Sum of Gross Sales" measure="1" displayFolder="" measureGroup="Raw_Sale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Gross Profit]" caption="Sum of Gross Profit" measure="1" displayFolder="" measureGroup="Raw_Sale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Payment Method]" caption="Count of Payment Method" measure="1" displayFolder="" measureGroup="Raw_Sales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]" caption="Sum of Custom" measure="1" displayFolder="" measureGroup="Raw_Sale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Custom]" caption="Count of Custom" measure="1" displayFolder="" measureGroup="Raw_Sale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Custom]" caption="Average of Custom" measure="1" displayFolder="" measureGroup="Raw_Sale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total gross profit]" caption="total gross profit" measure="1" displayFolder="" measureGroup="Raw_Sales" count="0"/>
    <cacheHierarchy uniqueName="[Measures].[total sales revenue]" caption="total sales revenue" measure="1" displayFolder="" measureGroup="Raw_Sales" count="0"/>
    <cacheHierarchy uniqueName="[Measures].[Measure 1]" caption="Measure 1" measure="1" displayFolder="" measureGroup="Raw_Sales" count="0"/>
    <cacheHierarchy uniqueName="[Measures].[Quntity of invice]" caption="Quntity of invice" measure="1" displayFolder="" measureGroup="Raw_Sales" count="0"/>
    <cacheHierarchy uniqueName="[Measures].[avg order value]" caption="avg order value" measure="1" displayFolder="" measureGroup="Raw_Sales" count="0"/>
    <cacheHierarchy uniqueName="[Measures].[Copy of avg order value]" caption="Copy of avg order value" measure="1" displayFolder="" measureGroup="Raw_Sales" count="0"/>
    <cacheHierarchy uniqueName="[Measures].[Copy of Quntity of invice]" caption="Copy of Quntity of invice" measure="1" displayFolder="" measureGroup="Raw_Sales" count="0"/>
    <cacheHierarchy uniqueName="[Measures].[Copy of total sales revenue]" caption="Copy of total sales revenue" measure="1" displayFolder="" measureGroup="Raw_Sales" count="0"/>
    <cacheHierarchy uniqueName="[Measures].[TOTAL QUANTITY SOLD]" caption="TOTAL QUANTITY SOLD" measure="1" displayFolder="" measureGroup="Raw_Sales" count="0"/>
    <cacheHierarchy uniqueName="[Measures].[__XL_Count Raw_Sales]" caption="__XL_Count Raw_Sales" measure="1" displayFolder="" measureGroup="Raw_Sales" count="0" hidden="1"/>
    <cacheHierarchy uniqueName="[Measures].[__XL_Count Purchases]" caption="__XL_Count Purchases" measure="1" displayFolder="" measureGroup="Purchases" count="0" hidden="1"/>
    <cacheHierarchy uniqueName="[Measures].[__XL_Count Expenses]" caption="__XL_Count Expenses" measure="1" displayFolder="" measureGroup="Expenses" count="0" hidden="1"/>
    <cacheHierarchy uniqueName="[Measures].[__XL_Count Customers]" caption="__XL_Count Customers" measure="1" displayFolder="" measureGroup="Customers" count="0" hidden="1"/>
    <cacheHierarchy uniqueName="[Measures].[__XL_Count Manager_Questions]" caption="__XL_Count Manager_Questions" measure="1" displayFolder="" measureGroup="Manager_Questions" count="0" hidden="1"/>
    <cacheHierarchy uniqueName="[Measures].[__XL_Count Table7]" caption="__XL_Count Table7" measure="1" displayFolder="" measureGroup="Table7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pivotCacheId="209349974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0">
  <r>
    <s v="INV10001"/>
    <d v="2026-03-13T00:00:00"/>
    <s v="March"/>
    <x v="0"/>
    <s v="P007"/>
    <s v="Regular Jeans"/>
    <s v="Jeans"/>
    <n v="2"/>
    <n v="1100"/>
    <n v="0"/>
    <n v="2200"/>
    <n v="1360"/>
    <n v="840"/>
    <s v="Sandeep"/>
    <s v="Main Store"/>
    <s v="Indore"/>
    <s v="UPI"/>
    <n v="0.381818181818182"/>
  </r>
  <r>
    <s v="INV10002"/>
    <d v="2026-04-14T00:00:00"/>
    <s v="April"/>
    <x v="1"/>
    <s v="P011"/>
    <s v="Sweatshirt"/>
    <s v="Winter Wear"/>
    <n v="1"/>
    <n v="1150"/>
    <n v="0"/>
    <n v="1150"/>
    <n v="700"/>
    <n v="450"/>
    <s v="Neha"/>
    <s v="City Store"/>
    <s v="Jabalpur"/>
    <s v="Credit"/>
    <n v="0.39130434782608697"/>
  </r>
  <r>
    <s v="INV10003"/>
    <d v="2026-07-07T00:00:00"/>
    <s v="July"/>
    <x v="2"/>
    <s v="P012"/>
    <s v="Kurta"/>
    <s v="Ethnic Wear"/>
    <n v="3"/>
    <n v="900"/>
    <n v="0"/>
    <n v="2700"/>
    <n v="1620"/>
    <n v="1080"/>
    <s v="Amit"/>
    <s v="City Store"/>
    <s v="Indore"/>
    <s v="Cash"/>
    <n v="0.4"/>
  </r>
  <r>
    <s v="INV10004"/>
    <d v="2026-06-19T00:00:00"/>
    <s v="June"/>
    <x v="3"/>
    <s v="P012"/>
    <s v="Kurta"/>
    <s v="Ethnic Wear"/>
    <n v="1"/>
    <n v="900"/>
    <n v="20"/>
    <n v="880"/>
    <n v="540"/>
    <n v="340"/>
    <s v="Priya"/>
    <s v="City Store"/>
    <s v="Bhopal"/>
    <s v="Cash"/>
    <n v="0.38636363636363602"/>
  </r>
  <r>
    <s v="INV10005"/>
    <d v="2026-03-05T00:00:00"/>
    <s v="March"/>
    <x v="4"/>
    <s v="P015"/>
    <s v="Kids Jeans"/>
    <s v="Kids Wear"/>
    <n v="2"/>
    <n v="800"/>
    <n v="20"/>
    <n v="1580"/>
    <n v="940"/>
    <n v="640"/>
    <s v="Sandeep"/>
    <s v="Main Store"/>
    <s v="Bhopal"/>
    <s v="UPI"/>
    <n v="0.40506329113924"/>
  </r>
  <r>
    <s v="INV10006"/>
    <d v="2026-01-14T00:00:00"/>
    <s v="January"/>
    <x v="5"/>
    <s v="P007"/>
    <s v="Regular Jeans"/>
    <s v="Jeans"/>
    <n v="1"/>
    <n v="1100"/>
    <n v="100"/>
    <n v="1000"/>
    <n v="680"/>
    <n v="320"/>
    <s v="Rohit"/>
    <s v="Main Store"/>
    <s v="Indore"/>
    <s v="UPI"/>
    <n v="0.32"/>
  </r>
  <r>
    <s v="INV10007"/>
    <d v="2026-06-21T00:00:00"/>
    <s v="June"/>
    <x v="6"/>
    <s v="P004"/>
    <s v="Basic T-Shirt"/>
    <s v="T-Shirts"/>
    <n v="1"/>
    <n v="550"/>
    <n v="50"/>
    <n v="500"/>
    <n v="300"/>
    <n v="200"/>
    <s v="Neha"/>
    <s v="City Store"/>
    <s v="Jabalpur"/>
    <s v="UPI"/>
    <n v="0.4"/>
  </r>
  <r>
    <s v="INV10008"/>
    <d v="2026-02-23T00:00:00"/>
    <s v="February"/>
    <x v="7"/>
    <s v="P008"/>
    <s v="Cotton Trousers"/>
    <s v="Trousers"/>
    <n v="2"/>
    <n v="950"/>
    <n v="20"/>
    <n v="1880"/>
    <n v="1140"/>
    <n v="740"/>
    <s v="Priya"/>
    <s v="City Store"/>
    <s v="Jabalpur"/>
    <s v="Credit"/>
    <n v="0.39361702127659598"/>
  </r>
  <r>
    <s v="INV10009"/>
    <d v="2026-08-16T00:00:00"/>
    <s v="August"/>
    <x v="8"/>
    <s v="P010"/>
    <s v="Hoodie"/>
    <s v="Winter Wear"/>
    <n v="1"/>
    <n v="1450"/>
    <n v="20"/>
    <n v="1430"/>
    <n v="900"/>
    <n v="530"/>
    <s v="Priya"/>
    <s v="Main Store"/>
    <s v="Indore"/>
    <s v="UPI"/>
    <n v="0.37062937062937101"/>
  </r>
  <r>
    <s v="INV10010"/>
    <d v="2026-06-03T00:00:00"/>
    <s v="June"/>
    <x v="9"/>
    <s v="P013"/>
    <s v="Kurta Set"/>
    <s v="Ethnic Wear"/>
    <n v="1"/>
    <n v="1500"/>
    <n v="75"/>
    <n v="1425"/>
    <n v="920"/>
    <n v="505"/>
    <s v="Priya"/>
    <s v="City Store"/>
    <s v="Jabalpur"/>
    <s v="UPI"/>
    <n v="0.35438596491228103"/>
  </r>
  <r>
    <s v="INV10011"/>
    <d v="2026-01-09T00:00:00"/>
    <s v="January"/>
    <x v="10"/>
    <s v="P015"/>
    <s v="Kids Jeans"/>
    <s v="Kids Wear"/>
    <n v="1"/>
    <n v="800"/>
    <n v="0"/>
    <n v="800"/>
    <n v="470"/>
    <n v="330"/>
    <s v="Amit"/>
    <s v="City Store"/>
    <s v="Bhopal"/>
    <s v="Card"/>
    <n v="0.41249999999999998"/>
  </r>
  <r>
    <s v="INV10012"/>
    <d v="2026-05-03T00:00:00"/>
    <s v="May"/>
    <x v="11"/>
    <s v="P001"/>
    <s v="Formal Shirt"/>
    <s v="Shirts"/>
    <n v="2"/>
    <n v="850"/>
    <n v="50"/>
    <n v="1650"/>
    <n v="1040"/>
    <n v="610"/>
    <s v="Rohit"/>
    <s v="Main Store"/>
    <s v="Indore"/>
    <s v="UPI"/>
    <n v="0.36969696969697002"/>
  </r>
  <r>
    <s v="INV10013"/>
    <d v="2026-02-02T00:00:00"/>
    <s v="February"/>
    <x v="12"/>
    <s v="P007"/>
    <s v="Regular Jeans"/>
    <s v="Jeans"/>
    <n v="3"/>
    <n v="1100"/>
    <n v="20"/>
    <n v="3280"/>
    <n v="2040"/>
    <n v="1240"/>
    <s v="Sandeep"/>
    <s v="Main Store"/>
    <s v="Indore"/>
    <s v="Card"/>
    <n v="0.37804878048780499"/>
  </r>
  <r>
    <s v="INV10014"/>
    <d v="2026-05-11T00:00:00"/>
    <s v="May"/>
    <x v="13"/>
    <s v="P001"/>
    <s v="Formal Shirt"/>
    <s v="Shirts"/>
    <n v="1"/>
    <n v="850"/>
    <n v="100"/>
    <n v="750"/>
    <n v="520"/>
    <n v="230"/>
    <s v="Sandeep"/>
    <s v="City Store"/>
    <s v="Bhopal"/>
    <s v="Card"/>
    <n v="0.30666666666666698"/>
  </r>
  <r>
    <s v="INV10015"/>
    <d v="2026-03-31T00:00:00"/>
    <s v="March"/>
    <x v="14"/>
    <s v="P007"/>
    <s v="Regular Jeans"/>
    <s v="Jeans"/>
    <n v="1"/>
    <n v="1100"/>
    <n v="50"/>
    <n v="1050"/>
    <n v="680"/>
    <n v="370"/>
    <s v="Priya"/>
    <s v="Main Store"/>
    <s v="Bhopal"/>
    <s v="UPI"/>
    <n v="0.35238095238095202"/>
  </r>
  <r>
    <s v="INV10016"/>
    <d v="2026-05-12T00:00:00"/>
    <s v="May"/>
    <x v="15"/>
    <s v="P007"/>
    <s v="Regular Jeans"/>
    <s v="Jeans"/>
    <n v="1"/>
    <n v="1100"/>
    <n v="20"/>
    <n v="1080"/>
    <n v="680"/>
    <n v="400"/>
    <s v="Sandeep"/>
    <s v="Main Store"/>
    <s v="Bhopal"/>
    <s v="UPI"/>
    <n v="0.37037037037037002"/>
  </r>
  <r>
    <s v="INV10017"/>
    <d v="2026-03-12T00:00:00"/>
    <s v="March"/>
    <x v="16"/>
    <s v="P011"/>
    <s v="Sweatshirt"/>
    <s v="Winter Wear"/>
    <n v="1"/>
    <n v="1150"/>
    <n v="100"/>
    <n v="1050"/>
    <n v="700"/>
    <n v="350"/>
    <s v="Neha"/>
    <s v="City Store"/>
    <s v="Indore"/>
    <s v="Cash"/>
    <n v="0.33333333333333298"/>
  </r>
  <r>
    <s v="INV10018"/>
    <d v="2026-01-28T00:00:00"/>
    <s v="January"/>
    <x v="17"/>
    <s v="P014"/>
    <s v="Kids Shirt"/>
    <s v="Kids Wear"/>
    <n v="2"/>
    <n v="600"/>
    <n v="75"/>
    <n v="1125"/>
    <n v="700"/>
    <n v="425"/>
    <s v="Priya"/>
    <s v="City Store"/>
    <s v="Jabalpur"/>
    <s v="Card"/>
    <n v="0.37777777777777799"/>
  </r>
  <r>
    <s v="INV10019"/>
    <d v="2026-07-09T00:00:00"/>
    <s v="July"/>
    <x v="18"/>
    <s v="P010"/>
    <s v="Hoodie"/>
    <s v="Winter Wear"/>
    <n v="1"/>
    <n v="1450"/>
    <n v="20"/>
    <n v="1430"/>
    <n v="900"/>
    <n v="530"/>
    <s v="Amit"/>
    <s v="Main Store"/>
    <s v="Bhopal"/>
    <s v="UPI"/>
    <n v="0.37062937062937101"/>
  </r>
  <r>
    <s v="INV10020"/>
    <d v="2026-07-17T00:00:00"/>
    <s v="July"/>
    <x v="19"/>
    <s v="P004"/>
    <s v="Basic T-Shirt"/>
    <s v="T-Shirts"/>
    <n v="1"/>
    <n v="550"/>
    <n v="0"/>
    <n v="550"/>
    <n v="300"/>
    <n v="250"/>
    <s v="Neha"/>
    <s v="Main Store"/>
    <s v="Indore"/>
    <s v="UPI"/>
    <n v="0.45454545454545398"/>
  </r>
  <r>
    <s v="INV10021"/>
    <d v="2026-02-28T00:00:00"/>
    <s v="February"/>
    <x v="20"/>
    <s v="P003"/>
    <s v="Premium Shirt"/>
    <s v="Shirts"/>
    <n v="1"/>
    <n v="1250"/>
    <n v="0"/>
    <n v="1250"/>
    <n v="760"/>
    <n v="490"/>
    <s v="Amit"/>
    <s v="City Store"/>
    <s v="Jabalpur"/>
    <s v="UPI"/>
    <n v="0.39200000000000002"/>
  </r>
  <r>
    <s v="INV10022"/>
    <d v="2026-05-10T00:00:00"/>
    <s v="May"/>
    <x v="4"/>
    <s v="P010"/>
    <s v="Hoodie"/>
    <s v="Winter Wear"/>
    <n v="4"/>
    <n v="1450"/>
    <n v="0"/>
    <n v="5800"/>
    <n v="3600"/>
    <n v="2200"/>
    <s v="Amit"/>
    <s v="Main Store"/>
    <s v="Jabalpur"/>
    <s v="Credit"/>
    <n v="0.37931034482758602"/>
  </r>
  <r>
    <s v="INV10023"/>
    <d v="2026-02-23T00:00:00"/>
    <s v="February"/>
    <x v="21"/>
    <s v="P011"/>
    <s v="Sweatshirt"/>
    <s v="Winter Wear"/>
    <n v="2"/>
    <n v="1150"/>
    <n v="20"/>
    <n v="2280"/>
    <n v="1400"/>
    <n v="880"/>
    <s v="Sandeep"/>
    <s v="City Store"/>
    <s v="Jabalpur"/>
    <s v="Cash"/>
    <n v="0.38596491228070201"/>
  </r>
  <r>
    <s v="INV10024"/>
    <d v="2026-06-09T00:00:00"/>
    <s v="June"/>
    <x v="22"/>
    <s v="P014"/>
    <s v="Kids Shirt"/>
    <s v="Kids Wear"/>
    <n v="1"/>
    <n v="600"/>
    <n v="20"/>
    <n v="580"/>
    <n v="350"/>
    <n v="230"/>
    <s v="Priya"/>
    <s v="Main Store"/>
    <s v="Bhopal"/>
    <s v="UPI"/>
    <n v="0.39655172413793099"/>
  </r>
  <r>
    <s v="INV10025"/>
    <d v="2026-04-26T00:00:00"/>
    <s v="April"/>
    <x v="23"/>
    <s v="P001"/>
    <s v="Formal Shirt"/>
    <s v="Shirts"/>
    <n v="2"/>
    <n v="850"/>
    <n v="20"/>
    <n v="1680"/>
    <n v="1040"/>
    <n v="640"/>
    <s v="Neha"/>
    <s v="Main Store"/>
    <s v="Jabalpur"/>
    <s v="UPI"/>
    <n v="0.38095238095238099"/>
  </r>
  <r>
    <s v="INV10026"/>
    <d v="2026-05-28T00:00:00"/>
    <s v="May"/>
    <x v="16"/>
    <s v="P011"/>
    <s v="Sweatshirt"/>
    <s v="Winter Wear"/>
    <n v="1"/>
    <n v="1150"/>
    <n v="0"/>
    <n v="1150"/>
    <n v="700"/>
    <n v="450"/>
    <s v="Priya"/>
    <s v="Main Store"/>
    <s v="Indore"/>
    <s v="Cash"/>
    <n v="0.39130434782608697"/>
  </r>
  <r>
    <s v="INV10027"/>
    <d v="2026-08-21T00:00:00"/>
    <s v="August"/>
    <x v="24"/>
    <s v="P003"/>
    <s v="Premium Shirt"/>
    <s v="Shirts"/>
    <n v="1"/>
    <n v="1250"/>
    <n v="0"/>
    <n v="1250"/>
    <n v="760"/>
    <n v="490"/>
    <s v="Rohit"/>
    <s v="City Store"/>
    <s v="Jabalpur"/>
    <s v="Cash"/>
    <n v="0.39200000000000002"/>
  </r>
  <r>
    <s v="INV10028"/>
    <d v="2026-08-10T00:00:00"/>
    <s v="August"/>
    <x v="14"/>
    <s v="P009"/>
    <s v="Formal Trousers"/>
    <s v="Trousers"/>
    <n v="1"/>
    <n v="1200"/>
    <n v="100"/>
    <n v="1100"/>
    <n v="730"/>
    <n v="370"/>
    <s v="Neha"/>
    <s v="Main Store"/>
    <s v="Indore"/>
    <s v="Credit"/>
    <n v="0.33636363636363598"/>
  </r>
  <r>
    <s v="INV10029"/>
    <d v="2026-02-17T00:00:00"/>
    <s v="February"/>
    <x v="25"/>
    <s v="P004"/>
    <s v="Basic T-Shirt"/>
    <s v="T-Shirts"/>
    <n v="1"/>
    <n v="550"/>
    <n v="0"/>
    <n v="550"/>
    <n v="300"/>
    <n v="250"/>
    <s v="Sandeep"/>
    <s v="Main Store"/>
    <s v="Bhopal"/>
    <s v="UPI"/>
    <n v="0.45454545454545398"/>
  </r>
  <r>
    <s v="INV10030"/>
    <d v="2026-05-11T00:00:00"/>
    <s v="May"/>
    <x v="26"/>
    <s v="P009"/>
    <s v="Formal Trousers"/>
    <s v="Trousers"/>
    <n v="1"/>
    <n v="1200"/>
    <n v="50"/>
    <n v="1150"/>
    <n v="730"/>
    <n v="420"/>
    <s v="Amit"/>
    <s v="City Store"/>
    <s v="Bhopal"/>
    <s v="Card"/>
    <n v="0.36521739130434799"/>
  </r>
  <r>
    <s v="INV10031"/>
    <d v="2026-08-15T00:00:00"/>
    <s v="August"/>
    <x v="27"/>
    <s v="P004"/>
    <s v="Basic T-Shirt"/>
    <s v="T-Shirts"/>
    <n v="3"/>
    <n v="550"/>
    <n v="50"/>
    <n v="1600"/>
    <n v="900"/>
    <n v="700"/>
    <s v="Amit"/>
    <s v="Main Store"/>
    <s v="Jabalpur"/>
    <s v="UPI"/>
    <n v="0.4375"/>
  </r>
  <r>
    <s v="INV10032"/>
    <d v="2026-07-27T00:00:00"/>
    <s v="July"/>
    <x v="0"/>
    <s v="P014"/>
    <s v="Kids Shirt"/>
    <s v="Kids Wear"/>
    <n v="1"/>
    <n v="600"/>
    <n v="50"/>
    <n v="550"/>
    <n v="350"/>
    <n v="200"/>
    <s v="Amit"/>
    <s v="City Store"/>
    <s v="Jabalpur"/>
    <s v="UPI"/>
    <n v="0.36363636363636398"/>
  </r>
  <r>
    <s v="INV10033"/>
    <d v="2026-05-08T00:00:00"/>
    <s v="May"/>
    <x v="6"/>
    <s v="P014"/>
    <s v="Kids Shirt"/>
    <s v="Kids Wear"/>
    <n v="1"/>
    <n v="600"/>
    <n v="50"/>
    <n v="550"/>
    <n v="350"/>
    <n v="200"/>
    <s v="Neha"/>
    <s v="Main Store"/>
    <s v="Jabalpur"/>
    <s v="Cash"/>
    <n v="0.36363636363636398"/>
  </r>
  <r>
    <s v="INV10034"/>
    <d v="2026-08-26T00:00:00"/>
    <s v="August"/>
    <x v="28"/>
    <s v="P011"/>
    <s v="Sweatshirt"/>
    <s v="Winter Wear"/>
    <n v="1"/>
    <n v="1150"/>
    <n v="0"/>
    <n v="1150"/>
    <n v="700"/>
    <n v="450"/>
    <s v="Sandeep"/>
    <s v="Main Store"/>
    <s v="Indore"/>
    <s v="Card"/>
    <n v="0.39130434782608697"/>
  </r>
  <r>
    <s v="INV10035"/>
    <d v="2026-01-28T00:00:00"/>
    <s v="January"/>
    <x v="29"/>
    <s v="P011"/>
    <s v="Sweatshirt"/>
    <s v="Winter Wear"/>
    <n v="2"/>
    <n v="1150"/>
    <n v="20"/>
    <n v="2280"/>
    <n v="1400"/>
    <n v="880"/>
    <s v="Amit"/>
    <s v="Main Store"/>
    <s v="Jabalpur"/>
    <s v="Cash"/>
    <n v="0.38596491228070201"/>
  </r>
  <r>
    <s v="INV10036"/>
    <d v="2026-01-17T00:00:00"/>
    <s v="January"/>
    <x v="30"/>
    <s v="P004"/>
    <s v="Basic T-Shirt"/>
    <s v="T-Shirts"/>
    <n v="1"/>
    <n v="550"/>
    <n v="50"/>
    <n v="500"/>
    <n v="300"/>
    <n v="200"/>
    <s v="Priya"/>
    <s v="City Store"/>
    <s v="Jabalpur"/>
    <s v="UPI"/>
    <n v="0.4"/>
  </r>
  <r>
    <s v="INV10037"/>
    <d v="2026-01-24T00:00:00"/>
    <s v="January"/>
    <x v="31"/>
    <s v="P006"/>
    <s v="Slim Jeans"/>
    <s v="Jeans"/>
    <n v="1"/>
    <n v="1350"/>
    <n v="0"/>
    <n v="1350"/>
    <n v="850"/>
    <n v="500"/>
    <s v="Amit"/>
    <s v="City Store"/>
    <s v="Jabalpur"/>
    <s v="Cash"/>
    <n v="0.37037037037037002"/>
  </r>
  <r>
    <s v="INV10038"/>
    <d v="2026-08-01T00:00:00"/>
    <s v="August"/>
    <x v="32"/>
    <s v="P012"/>
    <s v="Kurta"/>
    <s v="Ethnic Wear"/>
    <n v="3"/>
    <n v="900"/>
    <n v="0"/>
    <n v="2700"/>
    <n v="1620"/>
    <n v="1080"/>
    <s v="Amit"/>
    <s v="City Store"/>
    <s v="Bhopal"/>
    <s v="UPI"/>
    <n v="0.4"/>
  </r>
  <r>
    <s v="INV10039"/>
    <d v="2026-03-08T00:00:00"/>
    <s v="March"/>
    <x v="33"/>
    <s v="P009"/>
    <s v="Formal Trousers"/>
    <s v="Trousers"/>
    <n v="1"/>
    <n v="1200"/>
    <n v="75"/>
    <n v="1125"/>
    <n v="730"/>
    <n v="395"/>
    <s v="Rohit"/>
    <s v="City Store"/>
    <s v="Bhopal"/>
    <s v="Credit"/>
    <n v="0.35111111111111099"/>
  </r>
  <r>
    <s v="INV10040"/>
    <d v="2026-08-06T00:00:00"/>
    <s v="August"/>
    <x v="34"/>
    <s v="P002"/>
    <s v="Casual Shirt"/>
    <s v="Shirts"/>
    <n v="1"/>
    <n v="700"/>
    <n v="0"/>
    <n v="700"/>
    <n v="410"/>
    <n v="290"/>
    <s v="Amit"/>
    <s v="Main Store"/>
    <s v="Bhopal"/>
    <s v="Card"/>
    <n v="0.41428571428571398"/>
  </r>
  <r>
    <s v="INV10041"/>
    <d v="2026-04-09T00:00:00"/>
    <s v="April"/>
    <x v="35"/>
    <s v="P007"/>
    <s v="Regular Jeans"/>
    <s v="Jeans"/>
    <n v="1"/>
    <n v="1100"/>
    <n v="75"/>
    <n v="1025"/>
    <n v="680"/>
    <n v="345"/>
    <s v="Amit"/>
    <s v="City Store"/>
    <s v="Jabalpur"/>
    <s v="UPI"/>
    <n v="0.336585365853659"/>
  </r>
  <r>
    <s v="INV10042"/>
    <d v="2026-03-06T00:00:00"/>
    <s v="March"/>
    <x v="6"/>
    <s v="P007"/>
    <s v="Regular Jeans"/>
    <s v="Jeans"/>
    <n v="1"/>
    <n v="1100"/>
    <n v="50"/>
    <n v="1050"/>
    <n v="680"/>
    <n v="370"/>
    <s v="Priya"/>
    <s v="Main Store"/>
    <s v="Bhopal"/>
    <s v="UPI"/>
    <n v="0.35238095238095202"/>
  </r>
  <r>
    <s v="INV10043"/>
    <d v="2026-03-27T00:00:00"/>
    <s v="March"/>
    <x v="36"/>
    <s v="P002"/>
    <s v="Casual Shirt"/>
    <s v="Shirts"/>
    <n v="1"/>
    <n v="700"/>
    <n v="20"/>
    <n v="680"/>
    <n v="410"/>
    <n v="270"/>
    <s v="Amit"/>
    <s v="City Store"/>
    <s v="Bhopal"/>
    <s v="Credit"/>
    <n v="0.39705882352941202"/>
  </r>
  <r>
    <s v="INV10044"/>
    <d v="2026-06-29T00:00:00"/>
    <s v="June"/>
    <x v="14"/>
    <s v="P006"/>
    <s v="Slim Jeans"/>
    <s v="Jeans"/>
    <n v="2"/>
    <n v="1350"/>
    <n v="0"/>
    <n v="2700"/>
    <n v="1700"/>
    <n v="1000"/>
    <s v="Neha"/>
    <s v="City Store"/>
    <s v="Jabalpur"/>
    <s v="Cash"/>
    <n v="0.37037037037037002"/>
  </r>
  <r>
    <s v="INV10045"/>
    <d v="2026-04-13T00:00:00"/>
    <s v="April"/>
    <x v="37"/>
    <s v="P005"/>
    <s v="Polo T-Shirt"/>
    <s v="T-Shirts"/>
    <n v="1"/>
    <n v="750"/>
    <n v="100"/>
    <n v="650"/>
    <n v="430"/>
    <n v="220"/>
    <s v="Sandeep"/>
    <s v="City Store"/>
    <s v="Indore"/>
    <s v="Cash"/>
    <n v="0.33846153846153798"/>
  </r>
  <r>
    <s v="INV10046"/>
    <d v="2026-04-24T00:00:00"/>
    <s v="April"/>
    <x v="7"/>
    <s v="P007"/>
    <s v="Regular Jeans"/>
    <s v="Jeans"/>
    <n v="1"/>
    <n v="1100"/>
    <n v="0"/>
    <n v="1100"/>
    <n v="680"/>
    <n v="420"/>
    <s v="Neha"/>
    <s v="Main Store"/>
    <s v="Bhopal"/>
    <s v="UPI"/>
    <n v="0.381818181818182"/>
  </r>
  <r>
    <s v="INV10047"/>
    <d v="2026-04-27T00:00:00"/>
    <s v="April"/>
    <x v="38"/>
    <s v="P010"/>
    <s v="Hoodie"/>
    <s v="Winter Wear"/>
    <n v="1"/>
    <n v="1450"/>
    <n v="0"/>
    <n v="1450"/>
    <n v="900"/>
    <n v="550"/>
    <s v="Amit"/>
    <s v="City Store"/>
    <s v="Jabalpur"/>
    <s v="UPI"/>
    <n v="0.37931034482758602"/>
  </r>
  <r>
    <s v="INV10048"/>
    <d v="2026-05-06T00:00:00"/>
    <s v="May"/>
    <x v="20"/>
    <s v="P010"/>
    <s v="Hoodie"/>
    <s v="Winter Wear"/>
    <n v="1"/>
    <n v="1450"/>
    <n v="0"/>
    <n v="1450"/>
    <n v="900"/>
    <n v="550"/>
    <s v="Amit"/>
    <s v="City Store"/>
    <s v="Jabalpur"/>
    <s v="UPI"/>
    <n v="0.37931034482758602"/>
  </r>
  <r>
    <s v="INV10049"/>
    <d v="2026-01-22T00:00:00"/>
    <s v="January"/>
    <x v="31"/>
    <s v="P013"/>
    <s v="Kurta Set"/>
    <s v="Ethnic Wear"/>
    <n v="2"/>
    <n v="1500"/>
    <n v="20"/>
    <n v="2980"/>
    <n v="1840"/>
    <n v="1140"/>
    <s v="Neha"/>
    <s v="City Store"/>
    <s v="Indore"/>
    <s v="UPI"/>
    <n v="0.38255033557047002"/>
  </r>
  <r>
    <s v="INV10050"/>
    <d v="2026-08-08T00:00:00"/>
    <s v="August"/>
    <x v="39"/>
    <s v="P005"/>
    <s v="Polo T-Shirt"/>
    <s v="T-Shirts"/>
    <n v="1"/>
    <n v="750"/>
    <n v="0"/>
    <n v="750"/>
    <n v="430"/>
    <n v="320"/>
    <s v="Amit"/>
    <s v="City Store"/>
    <s v="Indore"/>
    <s v="Credit"/>
    <n v="0.42666666666666703"/>
  </r>
  <r>
    <s v="INV10051"/>
    <d v="2026-06-25T00:00:00"/>
    <s v="June"/>
    <x v="40"/>
    <s v="P005"/>
    <s v="Polo T-Shirt"/>
    <s v="T-Shirts"/>
    <n v="1"/>
    <n v="750"/>
    <n v="0"/>
    <n v="750"/>
    <n v="430"/>
    <n v="320"/>
    <s v="Priya"/>
    <s v="Main Store"/>
    <s v="Indore"/>
    <s v="UPI"/>
    <n v="0.42666666666666703"/>
  </r>
  <r>
    <s v="INV10052"/>
    <d v="2026-04-10T00:00:00"/>
    <s v="April"/>
    <x v="41"/>
    <s v="P007"/>
    <s v="Regular Jeans"/>
    <s v="Jeans"/>
    <n v="1"/>
    <n v="1100"/>
    <n v="100"/>
    <n v="1000"/>
    <n v="680"/>
    <n v="320"/>
    <s v="Priya"/>
    <s v="Main Store"/>
    <s v="Indore"/>
    <s v="Cash"/>
    <n v="0.32"/>
  </r>
  <r>
    <s v="INV10053"/>
    <d v="2026-08-25T00:00:00"/>
    <s v="August"/>
    <x v="42"/>
    <s v="P010"/>
    <s v="Hoodie"/>
    <s v="Winter Wear"/>
    <n v="1"/>
    <n v="1450"/>
    <n v="20"/>
    <n v="1430"/>
    <n v="900"/>
    <n v="530"/>
    <s v="Rohit"/>
    <s v="Main Store"/>
    <s v="Bhopal"/>
    <s v="Card"/>
    <n v="0.37062937062937101"/>
  </r>
  <r>
    <s v="INV10054"/>
    <d v="2026-06-10T00:00:00"/>
    <s v="June"/>
    <x v="0"/>
    <s v="P012"/>
    <s v="Kurta"/>
    <s v="Ethnic Wear"/>
    <n v="1"/>
    <n v="900"/>
    <n v="50"/>
    <n v="850"/>
    <n v="540"/>
    <n v="310"/>
    <s v="Neha"/>
    <s v="Main Store"/>
    <s v="Jabalpur"/>
    <s v="Cash"/>
    <n v="0.36470588235294099"/>
  </r>
  <r>
    <s v="INV10055"/>
    <d v="2026-02-13T00:00:00"/>
    <s v="February"/>
    <x v="43"/>
    <s v="P001"/>
    <s v="Formal Shirt"/>
    <s v="Shirts"/>
    <n v="4"/>
    <n v="850"/>
    <n v="75"/>
    <n v="3325"/>
    <n v="2080"/>
    <n v="1245"/>
    <s v="Sandeep"/>
    <s v="City Store"/>
    <s v="Bhopal"/>
    <s v="UPI"/>
    <n v="0.37443609022556401"/>
  </r>
  <r>
    <s v="INV10056"/>
    <d v="2026-03-22T00:00:00"/>
    <s v="March"/>
    <x v="44"/>
    <s v="P013"/>
    <s v="Kurta Set"/>
    <s v="Ethnic Wear"/>
    <n v="1"/>
    <n v="1500"/>
    <n v="50"/>
    <n v="1450"/>
    <n v="920"/>
    <n v="530"/>
    <s v="Sandeep"/>
    <s v="City Store"/>
    <s v="Indore"/>
    <s v="UPI"/>
    <n v="0.36551724137931002"/>
  </r>
  <r>
    <s v="INV10057"/>
    <d v="2026-02-27T00:00:00"/>
    <s v="February"/>
    <x v="45"/>
    <s v="P002"/>
    <s v="Casual Shirt"/>
    <s v="Shirts"/>
    <n v="1"/>
    <n v="700"/>
    <n v="20"/>
    <n v="680"/>
    <n v="410"/>
    <n v="270"/>
    <s v="Rohit"/>
    <s v="Main Store"/>
    <s v="Bhopal"/>
    <s v="Card"/>
    <n v="0.39705882352941202"/>
  </r>
  <r>
    <s v="INV10058"/>
    <d v="2026-06-13T00:00:00"/>
    <s v="June"/>
    <x v="46"/>
    <s v="P004"/>
    <s v="Basic T-Shirt"/>
    <s v="T-Shirts"/>
    <n v="1"/>
    <n v="550"/>
    <n v="82.5"/>
    <n v="467.5"/>
    <n v="300"/>
    <n v="167.5"/>
    <s v="Sandeep"/>
    <s v="Main Store"/>
    <s v="Bhopal"/>
    <s v="Credit"/>
    <n v="0.35828877005347598"/>
  </r>
  <r>
    <s v="INV10059"/>
    <d v="2026-06-01T00:00:00"/>
    <s v="June"/>
    <x v="47"/>
    <s v="P004"/>
    <s v="Basic T-Shirt"/>
    <s v="T-Shirts"/>
    <n v="1"/>
    <n v="550"/>
    <n v="50"/>
    <n v="500"/>
    <n v="300"/>
    <n v="200"/>
    <s v="Sandeep"/>
    <s v="City Store"/>
    <s v="Jabalpur"/>
    <s v="Cash"/>
    <n v="0.4"/>
  </r>
  <r>
    <s v="INV10060"/>
    <d v="2026-01-17T00:00:00"/>
    <s v="January"/>
    <x v="48"/>
    <s v="P007"/>
    <s v="Regular Jeans"/>
    <s v="Jeans"/>
    <n v="2"/>
    <n v="1100"/>
    <n v="0"/>
    <n v="2200"/>
    <n v="1360"/>
    <n v="840"/>
    <s v="Priya"/>
    <s v="City Store"/>
    <s v="Jabalpur"/>
    <s v="UPI"/>
    <n v="0.381818181818182"/>
  </r>
  <r>
    <s v="INV10061"/>
    <d v="2026-07-08T00:00:00"/>
    <s v="July"/>
    <x v="49"/>
    <s v="P011"/>
    <s v="Sweatshirt"/>
    <s v="Winter Wear"/>
    <n v="1"/>
    <n v="1150"/>
    <n v="0"/>
    <n v="1150"/>
    <n v="700"/>
    <n v="450"/>
    <s v="Neha"/>
    <s v="City Store"/>
    <s v="Jabalpur"/>
    <s v="UPI"/>
    <n v="0.39130434782608697"/>
  </r>
  <r>
    <s v="INV10062"/>
    <d v="2026-04-21T00:00:00"/>
    <s v="April"/>
    <x v="50"/>
    <s v="P014"/>
    <s v="Kids Shirt"/>
    <s v="Kids Wear"/>
    <n v="2"/>
    <n v="600"/>
    <n v="20"/>
    <n v="1180"/>
    <n v="700"/>
    <n v="480"/>
    <s v="Sandeep"/>
    <s v="Main Store"/>
    <s v="Bhopal"/>
    <s v="Cash"/>
    <n v="0.40677966101694901"/>
  </r>
  <r>
    <s v="INV10063"/>
    <d v="2026-05-31T00:00:00"/>
    <s v="May"/>
    <x v="50"/>
    <s v="P004"/>
    <s v="Basic T-Shirt"/>
    <s v="T-Shirts"/>
    <n v="2"/>
    <n v="550"/>
    <n v="50"/>
    <n v="1050"/>
    <n v="600"/>
    <n v="450"/>
    <s v="Amit"/>
    <s v="Main Store"/>
    <s v="Jabalpur"/>
    <s v="Card"/>
    <n v="0.42857142857142899"/>
  </r>
  <r>
    <s v="INV10064"/>
    <d v="2026-05-13T00:00:00"/>
    <s v="May"/>
    <x v="51"/>
    <s v="P010"/>
    <s v="Hoodie"/>
    <s v="Winter Wear"/>
    <n v="1"/>
    <n v="1450"/>
    <n v="20"/>
    <n v="1430"/>
    <n v="900"/>
    <n v="530"/>
    <s v="Sandeep"/>
    <s v="Main Store"/>
    <s v="Bhopal"/>
    <s v="UPI"/>
    <n v="0.37062937062937101"/>
  </r>
  <r>
    <s v="INV10065"/>
    <d v="2026-05-25T00:00:00"/>
    <s v="May"/>
    <x v="52"/>
    <s v="P012"/>
    <s v="Kurta"/>
    <s v="Ethnic Wear"/>
    <n v="2"/>
    <n v="900"/>
    <n v="75"/>
    <n v="1725"/>
    <n v="1080"/>
    <n v="645"/>
    <s v="Sandeep"/>
    <s v="City Store"/>
    <s v="Indore"/>
    <s v="UPI"/>
    <n v="0.37391304347826099"/>
  </r>
  <r>
    <s v="INV10066"/>
    <d v="2026-06-14T00:00:00"/>
    <s v="June"/>
    <x v="53"/>
    <s v="P011"/>
    <s v="Sweatshirt"/>
    <s v="Winter Wear"/>
    <n v="2"/>
    <n v="1150"/>
    <n v="0"/>
    <n v="2300"/>
    <n v="1400"/>
    <n v="900"/>
    <s v="Neha"/>
    <s v="City Store"/>
    <s v="Jabalpur"/>
    <s v="UPI"/>
    <n v="0.39130434782608697"/>
  </r>
  <r>
    <s v="INV10067"/>
    <d v="2026-02-14T00:00:00"/>
    <s v="February"/>
    <x v="42"/>
    <s v="P004"/>
    <s v="Basic T-Shirt"/>
    <s v="T-Shirts"/>
    <n v="1"/>
    <n v="550"/>
    <n v="75"/>
    <n v="475"/>
    <n v="300"/>
    <n v="175"/>
    <s v="Priya"/>
    <s v="City Store"/>
    <s v="Bhopal"/>
    <s v="Cash"/>
    <n v="0.36842105263157898"/>
  </r>
  <r>
    <s v="INV10068"/>
    <d v="2026-03-31T00:00:00"/>
    <s v="March"/>
    <x v="54"/>
    <s v="P012"/>
    <s v="Kurta"/>
    <s v="Ethnic Wear"/>
    <n v="2"/>
    <n v="900"/>
    <n v="20"/>
    <n v="1780"/>
    <n v="1080"/>
    <n v="700"/>
    <s v="Neha"/>
    <s v="Main Store"/>
    <s v="Jabalpur"/>
    <s v="UPI"/>
    <n v="0.39325842696629199"/>
  </r>
  <r>
    <s v="INV10069"/>
    <d v="2026-03-02T00:00:00"/>
    <s v="March"/>
    <x v="49"/>
    <s v="P014"/>
    <s v="Kids Shirt"/>
    <s v="Kids Wear"/>
    <n v="1"/>
    <n v="600"/>
    <n v="0"/>
    <n v="600"/>
    <n v="350"/>
    <n v="250"/>
    <s v="Amit"/>
    <s v="Main Store"/>
    <s v="Jabalpur"/>
    <s v="UPI"/>
    <n v="0.41666666666666702"/>
  </r>
  <r>
    <s v="INV10070"/>
    <d v="2026-02-25T00:00:00"/>
    <s v="February"/>
    <x v="24"/>
    <s v="P009"/>
    <s v="Formal Trousers"/>
    <s v="Trousers"/>
    <n v="1"/>
    <n v="1200"/>
    <n v="0"/>
    <n v="1200"/>
    <n v="730"/>
    <n v="470"/>
    <s v="Sandeep"/>
    <s v="City Store"/>
    <s v="Indore"/>
    <s v="UPI"/>
    <n v="0.391666666666667"/>
  </r>
  <r>
    <s v="INV10071"/>
    <d v="2026-04-28T00:00:00"/>
    <s v="April"/>
    <x v="40"/>
    <s v="P013"/>
    <s v="Kurta Set"/>
    <s v="Ethnic Wear"/>
    <n v="1"/>
    <n v="1500"/>
    <n v="75"/>
    <n v="1425"/>
    <n v="920"/>
    <n v="505"/>
    <s v="Neha"/>
    <s v="City Store"/>
    <s v="Jabalpur"/>
    <s v="UPI"/>
    <n v="0.35438596491228103"/>
  </r>
  <r>
    <s v="INV10072"/>
    <d v="2026-08-21T00:00:00"/>
    <s v="August"/>
    <x v="55"/>
    <s v="P003"/>
    <s v="Premium Shirt"/>
    <s v="Shirts"/>
    <n v="4"/>
    <n v="1250"/>
    <n v="20"/>
    <n v="4980"/>
    <n v="3040"/>
    <n v="1940"/>
    <s v="Amit"/>
    <s v="Main Store"/>
    <s v="Indore"/>
    <s v="Cash"/>
    <n v="0.38955823293172698"/>
  </r>
  <r>
    <s v="INV10073"/>
    <d v="2026-08-12T00:00:00"/>
    <s v="August"/>
    <x v="50"/>
    <s v="P007"/>
    <s v="Regular Jeans"/>
    <s v="Jeans"/>
    <n v="1"/>
    <n v="1100"/>
    <n v="0"/>
    <n v="1100"/>
    <n v="680"/>
    <n v="420"/>
    <s v="Priya"/>
    <s v="City Store"/>
    <s v="Jabalpur"/>
    <s v="UPI"/>
    <n v="0.381818181818182"/>
  </r>
  <r>
    <s v="INV10074"/>
    <d v="2026-03-01T00:00:00"/>
    <s v="March"/>
    <x v="35"/>
    <s v="P012"/>
    <s v="Kurta"/>
    <s v="Ethnic Wear"/>
    <n v="2"/>
    <n v="900"/>
    <n v="20"/>
    <n v="1780"/>
    <n v="1080"/>
    <n v="700"/>
    <s v="Priya"/>
    <s v="City Store"/>
    <s v="Jabalpur"/>
    <s v="Credit"/>
    <n v="0.39325842696629199"/>
  </r>
  <r>
    <s v="INV10075"/>
    <d v="2026-06-10T00:00:00"/>
    <s v="June"/>
    <x v="45"/>
    <s v="P011"/>
    <s v="Sweatshirt"/>
    <s v="Winter Wear"/>
    <n v="2"/>
    <n v="1150"/>
    <n v="20"/>
    <n v="2280"/>
    <n v="1400"/>
    <n v="880"/>
    <s v="Priya"/>
    <s v="Main Store"/>
    <s v="Jabalpur"/>
    <s v="UPI"/>
    <n v="0.38596491228070201"/>
  </r>
  <r>
    <s v="INV10076"/>
    <d v="2026-07-16T00:00:00"/>
    <s v="July"/>
    <x v="56"/>
    <s v="P003"/>
    <s v="Premium Shirt"/>
    <s v="Shirts"/>
    <n v="2"/>
    <n v="1250"/>
    <n v="100"/>
    <n v="2400"/>
    <n v="1520"/>
    <n v="880"/>
    <s v="Amit"/>
    <s v="City Store"/>
    <s v="Indore"/>
    <s v="Card"/>
    <n v="0.36666666666666697"/>
  </r>
  <r>
    <s v="INV10077"/>
    <d v="2026-02-02T00:00:00"/>
    <s v="February"/>
    <x v="20"/>
    <s v="P002"/>
    <s v="Casual Shirt"/>
    <s v="Shirts"/>
    <n v="2"/>
    <n v="700"/>
    <n v="0"/>
    <n v="1400"/>
    <n v="820"/>
    <n v="580"/>
    <s v="Amit"/>
    <s v="City Store"/>
    <s v="Bhopal"/>
    <s v="UPI"/>
    <n v="0.41428571428571398"/>
  </r>
  <r>
    <s v="INV10078"/>
    <d v="2026-02-28T00:00:00"/>
    <s v="February"/>
    <x v="57"/>
    <s v="P005"/>
    <s v="Polo T-Shirt"/>
    <s v="T-Shirts"/>
    <n v="2"/>
    <n v="750"/>
    <n v="20"/>
    <n v="1480"/>
    <n v="860"/>
    <n v="620"/>
    <s v="Amit"/>
    <s v="Main Store"/>
    <s v="Jabalpur"/>
    <s v="Cash"/>
    <n v="0.41891891891891903"/>
  </r>
  <r>
    <s v="INV10079"/>
    <d v="2026-02-24T00:00:00"/>
    <s v="February"/>
    <x v="58"/>
    <s v="P003"/>
    <s v="Premium Shirt"/>
    <s v="Shirts"/>
    <n v="1"/>
    <n v="1250"/>
    <n v="0"/>
    <n v="1250"/>
    <n v="760"/>
    <n v="490"/>
    <s v="Priya"/>
    <s v="Main Store"/>
    <s v="Jabalpur"/>
    <s v="Credit"/>
    <n v="0.39200000000000002"/>
  </r>
  <r>
    <s v="INV10080"/>
    <d v="2026-02-22T00:00:00"/>
    <s v="February"/>
    <x v="59"/>
    <s v="P006"/>
    <s v="Slim Jeans"/>
    <s v="Jeans"/>
    <n v="3"/>
    <n v="1350"/>
    <n v="20"/>
    <n v="4030"/>
    <n v="2550"/>
    <n v="1480"/>
    <s v="Rohit"/>
    <s v="City Store"/>
    <s v="Bhopal"/>
    <s v="UPI"/>
    <n v="0.36724565756823802"/>
  </r>
  <r>
    <s v="INV10081"/>
    <d v="2026-06-22T00:00:00"/>
    <s v="June"/>
    <x v="60"/>
    <s v="P014"/>
    <s v="Kids Shirt"/>
    <s v="Kids Wear"/>
    <n v="1"/>
    <n v="600"/>
    <n v="0"/>
    <n v="600"/>
    <n v="350"/>
    <n v="250"/>
    <s v="Priya"/>
    <s v="City Store"/>
    <s v="Jabalpur"/>
    <s v="Cash"/>
    <n v="0.41666666666666702"/>
  </r>
  <r>
    <s v="INV10082"/>
    <d v="2026-06-03T00:00:00"/>
    <s v="June"/>
    <x v="41"/>
    <s v="P002"/>
    <s v="Casual Shirt"/>
    <s v="Shirts"/>
    <n v="1"/>
    <n v="700"/>
    <n v="0"/>
    <n v="700"/>
    <n v="410"/>
    <n v="290"/>
    <s v="Neha"/>
    <s v="Main Store"/>
    <s v="Indore"/>
    <s v="Card"/>
    <n v="0.41428571428571398"/>
  </r>
  <r>
    <s v="INV10083"/>
    <d v="2026-02-26T00:00:00"/>
    <s v="February"/>
    <x v="34"/>
    <s v="P006"/>
    <s v="Slim Jeans"/>
    <s v="Jeans"/>
    <n v="4"/>
    <n v="1350"/>
    <n v="0"/>
    <n v="5400"/>
    <n v="3400"/>
    <n v="2000"/>
    <s v="Sandeep"/>
    <s v="Main Store"/>
    <s v="Indore"/>
    <s v="Card"/>
    <n v="0.37037037037037002"/>
  </r>
  <r>
    <s v="INV10084"/>
    <d v="2026-08-14T00:00:00"/>
    <s v="August"/>
    <x v="53"/>
    <s v="P003"/>
    <s v="Premium Shirt"/>
    <s v="Shirts"/>
    <n v="3"/>
    <n v="1250"/>
    <n v="50"/>
    <n v="3700"/>
    <n v="2280"/>
    <n v="1420"/>
    <s v="Rohit"/>
    <s v="City Store"/>
    <s v="Indore"/>
    <s v="UPI"/>
    <n v="0.38378378378378403"/>
  </r>
  <r>
    <s v="INV10085"/>
    <d v="2026-06-15T00:00:00"/>
    <s v="June"/>
    <x v="18"/>
    <s v="P011"/>
    <s v="Sweatshirt"/>
    <s v="Winter Wear"/>
    <n v="1"/>
    <n v="1150"/>
    <n v="50"/>
    <n v="1100"/>
    <n v="700"/>
    <n v="400"/>
    <s v="Priya"/>
    <s v="City Store"/>
    <s v="Bhopal"/>
    <s v="Cash"/>
    <n v="0.36363636363636398"/>
  </r>
  <r>
    <s v="INV10086"/>
    <d v="2026-07-03T00:00:00"/>
    <s v="July"/>
    <x v="34"/>
    <s v="P001"/>
    <s v="Formal Shirt"/>
    <s v="Shirts"/>
    <n v="3"/>
    <n v="850"/>
    <n v="0"/>
    <n v="2550"/>
    <n v="1560"/>
    <n v="990"/>
    <s v="Rohit"/>
    <s v="Main Store"/>
    <s v="Jabalpur"/>
    <s v="Credit"/>
    <n v="0.38823529411764701"/>
  </r>
  <r>
    <s v="INV10087"/>
    <d v="2026-02-12T00:00:00"/>
    <s v="February"/>
    <x v="27"/>
    <s v="P005"/>
    <s v="Polo T-Shirt"/>
    <s v="T-Shirts"/>
    <n v="1"/>
    <n v="750"/>
    <n v="0"/>
    <n v="750"/>
    <n v="430"/>
    <n v="320"/>
    <s v="Neha"/>
    <s v="Main Store"/>
    <s v="Bhopal"/>
    <s v="UPI"/>
    <n v="0.42666666666666703"/>
  </r>
  <r>
    <s v="INV10088"/>
    <d v="2026-05-24T00:00:00"/>
    <s v="May"/>
    <x v="6"/>
    <s v="P007"/>
    <s v="Regular Jeans"/>
    <s v="Jeans"/>
    <n v="2"/>
    <n v="1100"/>
    <n v="20"/>
    <n v="2180"/>
    <n v="1360"/>
    <n v="820"/>
    <s v="Priya"/>
    <s v="City Store"/>
    <s v="Jabalpur"/>
    <s v="Card"/>
    <n v="0.37614678899082599"/>
  </r>
  <r>
    <s v="INV10089"/>
    <d v="2026-03-02T00:00:00"/>
    <s v="March"/>
    <x v="36"/>
    <s v="P003"/>
    <s v="Premium Shirt"/>
    <s v="Shirts"/>
    <n v="1"/>
    <n v="1250"/>
    <n v="100"/>
    <n v="1150"/>
    <n v="760"/>
    <n v="390"/>
    <s v="Neha"/>
    <s v="Main Store"/>
    <s v="Jabalpur"/>
    <s v="UPI"/>
    <n v="0.33913043478260901"/>
  </r>
  <r>
    <s v="INV10090"/>
    <d v="2026-01-01T00:00:00"/>
    <s v="January"/>
    <x v="11"/>
    <s v="P010"/>
    <s v="Hoodie"/>
    <s v="Winter Wear"/>
    <n v="1"/>
    <n v="1450"/>
    <n v="0"/>
    <n v="1450"/>
    <n v="900"/>
    <n v="550"/>
    <s v="Amit"/>
    <s v="City Store"/>
    <s v="Indore"/>
    <s v="Card"/>
    <n v="0.37931034482758602"/>
  </r>
  <r>
    <s v="INV10091"/>
    <d v="2026-03-14T00:00:00"/>
    <s v="March"/>
    <x v="61"/>
    <s v="P001"/>
    <s v="Formal Shirt"/>
    <s v="Shirts"/>
    <n v="1"/>
    <n v="850"/>
    <n v="50"/>
    <n v="800"/>
    <n v="520"/>
    <n v="280"/>
    <s v="Amit"/>
    <s v="Main Store"/>
    <s v="Jabalpur"/>
    <s v="Cash"/>
    <n v="0.35"/>
  </r>
  <r>
    <s v="INV10092"/>
    <d v="2026-03-02T00:00:00"/>
    <s v="March"/>
    <x v="62"/>
    <s v="P008"/>
    <s v="Cotton Trousers"/>
    <s v="Trousers"/>
    <n v="3"/>
    <n v="950"/>
    <n v="100"/>
    <n v="2750"/>
    <n v="1710"/>
    <n v="1040"/>
    <s v="Rohit"/>
    <s v="City Store"/>
    <s v="Jabalpur"/>
    <s v="UPI"/>
    <n v="0.37818181818181801"/>
  </r>
  <r>
    <s v="INV10093"/>
    <d v="2026-05-07T00:00:00"/>
    <s v="May"/>
    <x v="63"/>
    <s v="P003"/>
    <s v="Premium Shirt"/>
    <s v="Shirts"/>
    <n v="1"/>
    <n v="1250"/>
    <n v="0"/>
    <n v="1250"/>
    <n v="760"/>
    <n v="490"/>
    <s v="Rohit"/>
    <s v="City Store"/>
    <s v="Bhopal"/>
    <s v="Cash"/>
    <n v="0.39200000000000002"/>
  </r>
  <r>
    <s v="INV10094"/>
    <d v="2026-02-25T00:00:00"/>
    <s v="February"/>
    <x v="64"/>
    <s v="P002"/>
    <s v="Casual Shirt"/>
    <s v="Shirts"/>
    <n v="2"/>
    <n v="700"/>
    <n v="0"/>
    <n v="1400"/>
    <n v="820"/>
    <n v="580"/>
    <s v="Neha"/>
    <s v="Main Store"/>
    <s v="Bhopal"/>
    <s v="Cash"/>
    <n v="0.41428571428571398"/>
  </r>
  <r>
    <s v="INV10095"/>
    <d v="2026-02-07T00:00:00"/>
    <s v="February"/>
    <x v="65"/>
    <s v="P015"/>
    <s v="Kids Jeans"/>
    <s v="Kids Wear"/>
    <n v="1"/>
    <n v="800"/>
    <n v="75"/>
    <n v="725"/>
    <n v="470"/>
    <n v="255"/>
    <s v="Neha"/>
    <s v="Main Store"/>
    <s v="Jabalpur"/>
    <s v="Card"/>
    <n v="0.35172413793103402"/>
  </r>
  <r>
    <s v="INV10096"/>
    <d v="2026-08-19T00:00:00"/>
    <s v="August"/>
    <x v="66"/>
    <s v="P012"/>
    <s v="Kurta"/>
    <s v="Ethnic Wear"/>
    <n v="1"/>
    <n v="900"/>
    <n v="0"/>
    <n v="900"/>
    <n v="540"/>
    <n v="360"/>
    <s v="Rohit"/>
    <s v="City Store"/>
    <s v="Jabalpur"/>
    <s v="Card"/>
    <n v="0.4"/>
  </r>
  <r>
    <s v="INV10097"/>
    <d v="2026-08-21T00:00:00"/>
    <s v="August"/>
    <x v="67"/>
    <s v="P004"/>
    <s v="Basic T-Shirt"/>
    <s v="T-Shirts"/>
    <n v="1"/>
    <n v="550"/>
    <n v="20"/>
    <n v="530"/>
    <n v="300"/>
    <n v="230"/>
    <s v="Rohit"/>
    <s v="Main Store"/>
    <s v="Bhopal"/>
    <s v="Card"/>
    <n v="0.43396226415094302"/>
  </r>
  <r>
    <s v="INV10098"/>
    <d v="2026-03-24T00:00:00"/>
    <s v="March"/>
    <x v="14"/>
    <s v="P015"/>
    <s v="Kids Jeans"/>
    <s v="Kids Wear"/>
    <n v="2"/>
    <n v="800"/>
    <n v="20"/>
    <n v="1580"/>
    <n v="940"/>
    <n v="640"/>
    <s v="Amit"/>
    <s v="Main Store"/>
    <s v="Indore"/>
    <s v="Card"/>
    <n v="0.40506329113924"/>
  </r>
  <r>
    <s v="INV10099"/>
    <d v="2026-07-17T00:00:00"/>
    <s v="July"/>
    <x v="68"/>
    <s v="P002"/>
    <s v="Casual Shirt"/>
    <s v="Shirts"/>
    <n v="1"/>
    <n v="700"/>
    <n v="20"/>
    <n v="680"/>
    <n v="410"/>
    <n v="270"/>
    <s v="Amit"/>
    <s v="Main Store"/>
    <s v="Jabalpur"/>
    <s v="UPI"/>
    <n v="0.39705882352941202"/>
  </r>
  <r>
    <s v="INV10100"/>
    <d v="2026-04-04T00:00:00"/>
    <s v="April"/>
    <x v="69"/>
    <s v="P006"/>
    <s v="Slim Jeans"/>
    <s v="Jeans"/>
    <n v="1"/>
    <n v="1350"/>
    <n v="20"/>
    <n v="1330"/>
    <n v="850"/>
    <n v="480"/>
    <s v="Amit"/>
    <s v="Main Store"/>
    <s v="Bhopal"/>
    <s v="Cash"/>
    <n v="0.360902255639098"/>
  </r>
  <r>
    <s v="INV10101"/>
    <d v="2026-01-06T00:00:00"/>
    <s v="January"/>
    <x v="70"/>
    <s v="P008"/>
    <s v="Cotton Trousers"/>
    <s v="Trousers"/>
    <n v="2"/>
    <n v="950"/>
    <n v="100"/>
    <n v="1800"/>
    <n v="1140"/>
    <n v="660"/>
    <s v="Priya"/>
    <s v="City Store"/>
    <s v="Bhopal"/>
    <s v="Card"/>
    <n v="0.36666666666666697"/>
  </r>
  <r>
    <s v="INV10102"/>
    <d v="2026-08-18T00:00:00"/>
    <s v="August"/>
    <x v="36"/>
    <s v="P006"/>
    <s v="Slim Jeans"/>
    <s v="Jeans"/>
    <n v="4"/>
    <n v="1350"/>
    <n v="20"/>
    <n v="5380"/>
    <n v="3400"/>
    <n v="1980"/>
    <s v="Amit"/>
    <s v="City Store"/>
    <s v="Bhopal"/>
    <s v="Cash"/>
    <n v="0.36802973977695203"/>
  </r>
  <r>
    <s v="INV10103"/>
    <d v="2026-03-11T00:00:00"/>
    <s v="March"/>
    <x v="61"/>
    <s v="P010"/>
    <s v="Hoodie"/>
    <s v="Winter Wear"/>
    <n v="1"/>
    <n v="1450"/>
    <n v="50"/>
    <n v="1400"/>
    <n v="900"/>
    <n v="500"/>
    <s v="Priya"/>
    <s v="Main Store"/>
    <s v="Jabalpur"/>
    <s v="Card"/>
    <n v="0.35714285714285698"/>
  </r>
  <r>
    <s v="INV10104"/>
    <d v="2026-03-05T00:00:00"/>
    <s v="March"/>
    <x v="53"/>
    <s v="P012"/>
    <s v="Kurta"/>
    <s v="Ethnic Wear"/>
    <n v="1"/>
    <n v="900"/>
    <n v="50"/>
    <n v="850"/>
    <n v="540"/>
    <n v="310"/>
    <s v="Sandeep"/>
    <s v="City Store"/>
    <s v="Bhopal"/>
    <s v="Card"/>
    <n v="0.36470588235294099"/>
  </r>
  <r>
    <s v="INV10105"/>
    <d v="2026-06-27T00:00:00"/>
    <s v="June"/>
    <x v="71"/>
    <s v="P013"/>
    <s v="Kurta Set"/>
    <s v="Ethnic Wear"/>
    <n v="1"/>
    <n v="1500"/>
    <n v="0"/>
    <n v="1500"/>
    <n v="920"/>
    <n v="580"/>
    <s v="Rohit"/>
    <s v="Main Store"/>
    <s v="Bhopal"/>
    <s v="UPI"/>
    <n v="0.38666666666666699"/>
  </r>
  <r>
    <s v="INV10106"/>
    <d v="2026-03-06T00:00:00"/>
    <s v="March"/>
    <x v="72"/>
    <s v="P002"/>
    <s v="Casual Shirt"/>
    <s v="Shirts"/>
    <n v="1"/>
    <n v="700"/>
    <n v="75"/>
    <n v="625"/>
    <n v="410"/>
    <n v="215"/>
    <s v="Sandeep"/>
    <s v="Main Store"/>
    <s v="Jabalpur"/>
    <s v="UPI"/>
    <n v="0.34399999999999997"/>
  </r>
  <r>
    <s v="INV10107"/>
    <d v="2026-04-04T00:00:00"/>
    <s v="April"/>
    <x v="73"/>
    <s v="P015"/>
    <s v="Kids Jeans"/>
    <s v="Kids Wear"/>
    <n v="1"/>
    <n v="800"/>
    <n v="20"/>
    <n v="780"/>
    <n v="470"/>
    <n v="310"/>
    <s v="Amit"/>
    <s v="Main Store"/>
    <s v="Indore"/>
    <s v="Card"/>
    <n v="0.39743589743589702"/>
  </r>
  <r>
    <s v="INV10108"/>
    <d v="2026-05-17T00:00:00"/>
    <s v="May"/>
    <x v="41"/>
    <s v="P002"/>
    <s v="Casual Shirt"/>
    <s v="Shirts"/>
    <n v="1"/>
    <n v="700"/>
    <n v="50"/>
    <n v="650"/>
    <n v="410"/>
    <n v="240"/>
    <s v="Priya"/>
    <s v="Main Store"/>
    <s v="Bhopal"/>
    <s v="Card"/>
    <n v="0.36923076923076897"/>
  </r>
  <r>
    <s v="INV10109"/>
    <d v="2026-01-11T00:00:00"/>
    <s v="January"/>
    <x v="49"/>
    <s v="P006"/>
    <s v="Slim Jeans"/>
    <s v="Jeans"/>
    <n v="1"/>
    <n v="1350"/>
    <n v="50"/>
    <n v="1300"/>
    <n v="850"/>
    <n v="450"/>
    <s v="Sandeep"/>
    <s v="City Store"/>
    <s v="Indore"/>
    <s v="Card"/>
    <n v="0.34615384615384598"/>
  </r>
  <r>
    <s v="INV10110"/>
    <d v="2026-06-03T00:00:00"/>
    <s v="June"/>
    <x v="38"/>
    <s v="P005"/>
    <s v="Polo T-Shirt"/>
    <s v="T-Shirts"/>
    <n v="2"/>
    <n v="750"/>
    <n v="50"/>
    <n v="1450"/>
    <n v="860"/>
    <n v="590"/>
    <s v="Priya"/>
    <s v="Main Store"/>
    <s v="Jabalpur"/>
    <s v="Cash"/>
    <n v="0.40689655172413802"/>
  </r>
  <r>
    <s v="INV10111"/>
    <d v="2026-01-14T00:00:00"/>
    <s v="January"/>
    <x v="32"/>
    <s v="P002"/>
    <s v="Casual Shirt"/>
    <s v="Shirts"/>
    <n v="2"/>
    <n v="700"/>
    <n v="20"/>
    <n v="1380"/>
    <n v="820"/>
    <n v="560"/>
    <s v="Neha"/>
    <s v="Main Store"/>
    <s v="Indore"/>
    <s v="Cash"/>
    <n v="0.405797101449275"/>
  </r>
  <r>
    <s v="INV10112"/>
    <d v="2026-08-13T00:00:00"/>
    <s v="August"/>
    <x v="29"/>
    <s v="P015"/>
    <s v="Kids Jeans"/>
    <s v="Kids Wear"/>
    <n v="1"/>
    <n v="800"/>
    <n v="0"/>
    <n v="800"/>
    <n v="470"/>
    <n v="330"/>
    <s v="Rohit"/>
    <s v="City Store"/>
    <s v="Jabalpur"/>
    <s v="Card"/>
    <n v="0.41249999999999998"/>
  </r>
  <r>
    <s v="INV10113"/>
    <d v="2026-03-08T00:00:00"/>
    <s v="March"/>
    <x v="74"/>
    <s v="P003"/>
    <s v="Premium Shirt"/>
    <s v="Shirts"/>
    <n v="1"/>
    <n v="1250"/>
    <n v="20"/>
    <n v="1230"/>
    <n v="760"/>
    <n v="470"/>
    <s v="Neha"/>
    <s v="City Store"/>
    <s v="Indore"/>
    <s v="UPI"/>
    <n v="0.38211382113821102"/>
  </r>
  <r>
    <s v="INV10114"/>
    <d v="2026-08-10T00:00:00"/>
    <s v="August"/>
    <x v="75"/>
    <s v="P015"/>
    <s v="Kids Jeans"/>
    <s v="Kids Wear"/>
    <n v="3"/>
    <n v="800"/>
    <n v="20"/>
    <n v="2380"/>
    <n v="1410"/>
    <n v="970"/>
    <s v="Neha"/>
    <s v="City Store"/>
    <s v="Jabalpur"/>
    <s v="UPI"/>
    <n v="0.40756302521008397"/>
  </r>
  <r>
    <s v="INV10115"/>
    <d v="2026-02-02T00:00:00"/>
    <s v="February"/>
    <x v="37"/>
    <s v="P001"/>
    <s v="Formal Shirt"/>
    <s v="Shirts"/>
    <n v="2"/>
    <n v="850"/>
    <n v="50"/>
    <n v="1650"/>
    <n v="1040"/>
    <n v="610"/>
    <s v="Rohit"/>
    <s v="City Store"/>
    <s v="Jabalpur"/>
    <s v="Card"/>
    <n v="0.36969696969697002"/>
  </r>
  <r>
    <s v="INV10116"/>
    <d v="2026-02-16T00:00:00"/>
    <s v="February"/>
    <x v="76"/>
    <s v="P001"/>
    <s v="Formal Shirt"/>
    <s v="Shirts"/>
    <n v="1"/>
    <n v="850"/>
    <n v="20"/>
    <n v="830"/>
    <n v="520"/>
    <n v="310"/>
    <s v="Sandeep"/>
    <s v="City Store"/>
    <s v="Bhopal"/>
    <s v="Card"/>
    <n v="0.373493975903614"/>
  </r>
  <r>
    <s v="INV10117"/>
    <d v="2026-06-22T00:00:00"/>
    <s v="June"/>
    <x v="77"/>
    <s v="P005"/>
    <s v="Polo T-Shirt"/>
    <s v="T-Shirts"/>
    <n v="1"/>
    <n v="750"/>
    <n v="20"/>
    <n v="730"/>
    <n v="430"/>
    <n v="300"/>
    <s v="Neha"/>
    <s v="Main Store"/>
    <s v="Bhopal"/>
    <s v="Cash"/>
    <n v="0.41095890410958902"/>
  </r>
  <r>
    <s v="INV10118"/>
    <d v="2026-05-28T00:00:00"/>
    <s v="May"/>
    <x v="78"/>
    <s v="P004"/>
    <s v="Basic T-Shirt"/>
    <s v="T-Shirts"/>
    <n v="2"/>
    <n v="550"/>
    <n v="20"/>
    <n v="1080"/>
    <n v="600"/>
    <n v="480"/>
    <s v="Rohit"/>
    <s v="City Store"/>
    <s v="Indore"/>
    <s v="UPI"/>
    <n v="0.44444444444444398"/>
  </r>
  <r>
    <s v="INV10119"/>
    <d v="2026-05-20T00:00:00"/>
    <s v="May"/>
    <x v="44"/>
    <s v="P007"/>
    <s v="Regular Jeans"/>
    <s v="Jeans"/>
    <n v="1"/>
    <n v="1100"/>
    <n v="100"/>
    <n v="1000"/>
    <n v="680"/>
    <n v="320"/>
    <s v="Sandeep"/>
    <s v="City Store"/>
    <s v="Indore"/>
    <s v="UPI"/>
    <n v="0.32"/>
  </r>
  <r>
    <s v="INV10120"/>
    <d v="2026-07-23T00:00:00"/>
    <s v="July"/>
    <x v="17"/>
    <s v="P001"/>
    <s v="Formal Shirt"/>
    <s v="Shirts"/>
    <n v="1"/>
    <n v="850"/>
    <n v="75"/>
    <n v="775"/>
    <n v="520"/>
    <n v="255"/>
    <s v="Priya"/>
    <s v="City Store"/>
    <s v="Jabalpur"/>
    <s v="Card"/>
    <n v="0.32903225806451603"/>
  </r>
  <r>
    <s v="INV10121"/>
    <d v="2026-01-31T00:00:00"/>
    <s v="January"/>
    <x v="79"/>
    <s v="P008"/>
    <s v="Cotton Trousers"/>
    <s v="Trousers"/>
    <n v="2"/>
    <n v="950"/>
    <n v="50"/>
    <n v="1850"/>
    <n v="1140"/>
    <n v="710"/>
    <s v="Neha"/>
    <s v="Main Store"/>
    <s v="Indore"/>
    <s v="Card"/>
    <n v="0.38378378378378403"/>
  </r>
  <r>
    <s v="INV10122"/>
    <d v="2026-04-11T00:00:00"/>
    <s v="April"/>
    <x v="2"/>
    <s v="P006"/>
    <s v="Slim Jeans"/>
    <s v="Jeans"/>
    <n v="3"/>
    <n v="1350"/>
    <n v="0"/>
    <n v="4050"/>
    <n v="2550"/>
    <n v="1500"/>
    <s v="Rohit"/>
    <s v="City Store"/>
    <s v="Indore"/>
    <s v="Card"/>
    <n v="0.37037037037037002"/>
  </r>
  <r>
    <s v="INV10123"/>
    <d v="2026-06-17T00:00:00"/>
    <s v="June"/>
    <x v="80"/>
    <s v="P001"/>
    <s v="Formal Shirt"/>
    <s v="Shirts"/>
    <n v="3"/>
    <n v="850"/>
    <n v="20"/>
    <n v="2530"/>
    <n v="1560"/>
    <n v="970"/>
    <s v="Sandeep"/>
    <s v="Main Store"/>
    <s v="Jabalpur"/>
    <s v="Card"/>
    <n v="0.38339920948616601"/>
  </r>
  <r>
    <s v="INV10124"/>
    <d v="2026-06-18T00:00:00"/>
    <s v="June"/>
    <x v="51"/>
    <s v="P010"/>
    <s v="Hoodie"/>
    <s v="Winter Wear"/>
    <n v="2"/>
    <n v="1450"/>
    <n v="0"/>
    <n v="2900"/>
    <n v="1800"/>
    <n v="1100"/>
    <s v="Priya"/>
    <s v="Main Store"/>
    <s v="Indore"/>
    <s v="Card"/>
    <n v="0.37931034482758602"/>
  </r>
  <r>
    <s v="INV10125"/>
    <d v="2026-04-01T00:00:00"/>
    <s v="April"/>
    <x v="34"/>
    <s v="P002"/>
    <s v="Casual Shirt"/>
    <s v="Shirts"/>
    <n v="1"/>
    <n v="700"/>
    <n v="20"/>
    <n v="680"/>
    <n v="410"/>
    <n v="270"/>
    <s v="Neha"/>
    <s v="Main Store"/>
    <s v="Bhopal"/>
    <s v="UPI"/>
    <n v="0.39705882352941202"/>
  </r>
  <r>
    <s v="INV10126"/>
    <d v="2026-03-29T00:00:00"/>
    <s v="March"/>
    <x v="24"/>
    <s v="P008"/>
    <s v="Cotton Trousers"/>
    <s v="Trousers"/>
    <n v="2"/>
    <n v="950"/>
    <n v="0"/>
    <n v="1900"/>
    <n v="1140"/>
    <n v="760"/>
    <s v="Amit"/>
    <s v="Main Store"/>
    <s v="Bhopal"/>
    <s v="UPI"/>
    <n v="0.4"/>
  </r>
  <r>
    <s v="INV10127"/>
    <d v="2026-07-18T00:00:00"/>
    <s v="July"/>
    <x v="62"/>
    <s v="P010"/>
    <s v="Hoodie"/>
    <s v="Winter Wear"/>
    <n v="1"/>
    <n v="1450"/>
    <n v="50"/>
    <n v="1400"/>
    <n v="900"/>
    <n v="500"/>
    <s v="Priya"/>
    <s v="Main Store"/>
    <s v="Jabalpur"/>
    <s v="Cash"/>
    <n v="0.35714285714285698"/>
  </r>
  <r>
    <s v="INV10128"/>
    <d v="2026-02-18T00:00:00"/>
    <s v="February"/>
    <x v="81"/>
    <s v="P006"/>
    <s v="Slim Jeans"/>
    <s v="Jeans"/>
    <n v="1"/>
    <n v="1350"/>
    <n v="100"/>
    <n v="1250"/>
    <n v="850"/>
    <n v="400"/>
    <s v="Amit"/>
    <s v="City Store"/>
    <s v="Jabalpur"/>
    <s v="UPI"/>
    <n v="0.32"/>
  </r>
  <r>
    <s v="INV10129"/>
    <d v="2026-02-01T00:00:00"/>
    <s v="February"/>
    <x v="28"/>
    <s v="P003"/>
    <s v="Premium Shirt"/>
    <s v="Shirts"/>
    <n v="1"/>
    <n v="1250"/>
    <n v="75"/>
    <n v="1175"/>
    <n v="760"/>
    <n v="415"/>
    <s v="Sandeep"/>
    <s v="Main Store"/>
    <s v="Jabalpur"/>
    <s v="UPI"/>
    <n v="0.35319148936170203"/>
  </r>
  <r>
    <s v="INV10130"/>
    <d v="2026-04-25T00:00:00"/>
    <s v="April"/>
    <x v="56"/>
    <s v="P008"/>
    <s v="Cotton Trousers"/>
    <s v="Trousers"/>
    <n v="2"/>
    <n v="950"/>
    <n v="0"/>
    <n v="1900"/>
    <n v="1140"/>
    <n v="760"/>
    <s v="Rohit"/>
    <s v="City Store"/>
    <s v="Indore"/>
    <s v="UPI"/>
    <n v="0.4"/>
  </r>
  <r>
    <s v="INV10131"/>
    <d v="2026-05-12T00:00:00"/>
    <s v="May"/>
    <x v="13"/>
    <s v="P002"/>
    <s v="Casual Shirt"/>
    <s v="Shirts"/>
    <n v="1"/>
    <n v="700"/>
    <n v="50"/>
    <n v="650"/>
    <n v="410"/>
    <n v="240"/>
    <s v="Sandeep"/>
    <s v="Main Store"/>
    <s v="Bhopal"/>
    <s v="Card"/>
    <n v="0.36923076923076897"/>
  </r>
  <r>
    <s v="INV10132"/>
    <d v="2026-05-04T00:00:00"/>
    <s v="May"/>
    <x v="18"/>
    <s v="P010"/>
    <s v="Hoodie"/>
    <s v="Winter Wear"/>
    <n v="1"/>
    <n v="1450"/>
    <n v="50"/>
    <n v="1400"/>
    <n v="900"/>
    <n v="500"/>
    <s v="Priya"/>
    <s v="City Store"/>
    <s v="Indore"/>
    <s v="Card"/>
    <n v="0.35714285714285698"/>
  </r>
  <r>
    <s v="INV10133"/>
    <d v="2026-08-04T00:00:00"/>
    <s v="August"/>
    <x v="21"/>
    <s v="P008"/>
    <s v="Cotton Trousers"/>
    <s v="Trousers"/>
    <n v="1"/>
    <n v="950"/>
    <n v="0"/>
    <n v="950"/>
    <n v="570"/>
    <n v="380"/>
    <s v="Neha"/>
    <s v="Main Store"/>
    <s v="Jabalpur"/>
    <s v="Cash"/>
    <n v="0.4"/>
  </r>
  <r>
    <s v="INV10134"/>
    <d v="2026-04-07T00:00:00"/>
    <s v="April"/>
    <x v="3"/>
    <s v="P009"/>
    <s v="Formal Trousers"/>
    <s v="Trousers"/>
    <n v="2"/>
    <n v="1200"/>
    <n v="0"/>
    <n v="2400"/>
    <n v="1460"/>
    <n v="940"/>
    <s v="Rohit"/>
    <s v="Main Store"/>
    <s v="Indore"/>
    <s v="Cash"/>
    <n v="0.391666666666667"/>
  </r>
  <r>
    <s v="INV10135"/>
    <d v="2026-06-14T00:00:00"/>
    <s v="June"/>
    <x v="82"/>
    <s v="P014"/>
    <s v="Kids Shirt"/>
    <s v="Kids Wear"/>
    <n v="2"/>
    <n v="600"/>
    <n v="20"/>
    <n v="1180"/>
    <n v="700"/>
    <n v="480"/>
    <s v="Sandeep"/>
    <s v="City Store"/>
    <s v="Bhopal"/>
    <s v="UPI"/>
    <n v="0.40677966101694901"/>
  </r>
  <r>
    <s v="INV10136"/>
    <d v="2026-05-31T00:00:00"/>
    <s v="May"/>
    <x v="40"/>
    <s v="P002"/>
    <s v="Casual Shirt"/>
    <s v="Shirts"/>
    <n v="1"/>
    <n v="700"/>
    <n v="0"/>
    <n v="700"/>
    <n v="410"/>
    <n v="290"/>
    <s v="Neha"/>
    <s v="City Store"/>
    <s v="Jabalpur"/>
    <s v="Card"/>
    <n v="0.41428571428571398"/>
  </r>
  <r>
    <s v="INV10137"/>
    <d v="2026-02-16T00:00:00"/>
    <s v="February"/>
    <x v="39"/>
    <s v="P013"/>
    <s v="Kurta Set"/>
    <s v="Ethnic Wear"/>
    <n v="1"/>
    <n v="1500"/>
    <n v="75"/>
    <n v="1425"/>
    <n v="920"/>
    <n v="505"/>
    <s v="Priya"/>
    <s v="Main Store"/>
    <s v="Indore"/>
    <s v="Card"/>
    <n v="0.35438596491228103"/>
  </r>
  <r>
    <s v="INV10138"/>
    <d v="2026-01-05T00:00:00"/>
    <s v="January"/>
    <x v="59"/>
    <s v="P003"/>
    <s v="Premium Shirt"/>
    <s v="Shirts"/>
    <n v="2"/>
    <n v="1250"/>
    <n v="0"/>
    <n v="2500"/>
    <n v="1520"/>
    <n v="980"/>
    <s v="Amit"/>
    <s v="City Store"/>
    <s v="Jabalpur"/>
    <s v="UPI"/>
    <n v="0.39200000000000002"/>
  </r>
  <r>
    <s v="INV10139"/>
    <d v="2026-03-22T00:00:00"/>
    <s v="March"/>
    <x v="83"/>
    <s v="P004"/>
    <s v="Basic T-Shirt"/>
    <s v="T-Shirts"/>
    <n v="4"/>
    <n v="550"/>
    <n v="50"/>
    <n v="2150"/>
    <n v="1200"/>
    <n v="950"/>
    <s v="Neha"/>
    <s v="City Store"/>
    <s v="Bhopal"/>
    <s v="Card"/>
    <n v="0.44186046511627902"/>
  </r>
  <r>
    <s v="INV10140"/>
    <d v="2026-01-09T00:00:00"/>
    <s v="January"/>
    <x v="84"/>
    <s v="P001"/>
    <s v="Formal Shirt"/>
    <s v="Shirts"/>
    <n v="1"/>
    <n v="850"/>
    <n v="20"/>
    <n v="830"/>
    <n v="520"/>
    <n v="310"/>
    <s v="Rohit"/>
    <s v="Main Store"/>
    <s v="Jabalpur"/>
    <s v="UPI"/>
    <n v="0.373493975903614"/>
  </r>
  <r>
    <s v="INV10141"/>
    <d v="2026-06-03T00:00:00"/>
    <s v="June"/>
    <x v="85"/>
    <s v="P006"/>
    <s v="Slim Jeans"/>
    <s v="Jeans"/>
    <n v="2"/>
    <n v="1350"/>
    <n v="20"/>
    <n v="2680"/>
    <n v="1700"/>
    <n v="980"/>
    <s v="Sandeep"/>
    <s v="Main Store"/>
    <s v="Indore"/>
    <s v="UPI"/>
    <n v="0.365671641791045"/>
  </r>
  <r>
    <s v="INV10142"/>
    <d v="2026-02-11T00:00:00"/>
    <s v="February"/>
    <x v="76"/>
    <s v="P011"/>
    <s v="Sweatshirt"/>
    <s v="Winter Wear"/>
    <n v="2"/>
    <n v="1150"/>
    <n v="20"/>
    <n v="2280"/>
    <n v="1400"/>
    <n v="880"/>
    <s v="Amit"/>
    <s v="City Store"/>
    <s v="Indore"/>
    <s v="Cash"/>
    <n v="0.38596491228070201"/>
  </r>
  <r>
    <s v="INV10143"/>
    <d v="2026-04-27T00:00:00"/>
    <s v="April"/>
    <x v="7"/>
    <s v="P009"/>
    <s v="Formal Trousers"/>
    <s v="Trousers"/>
    <n v="1"/>
    <n v="1200"/>
    <n v="50"/>
    <n v="1150"/>
    <n v="730"/>
    <n v="420"/>
    <s v="Sandeep"/>
    <s v="Main Store"/>
    <s v="Jabalpur"/>
    <s v="UPI"/>
    <n v="0.36521739130434799"/>
  </r>
  <r>
    <s v="INV10144"/>
    <d v="2026-02-22T00:00:00"/>
    <s v="February"/>
    <x v="81"/>
    <s v="P011"/>
    <s v="Sweatshirt"/>
    <s v="Winter Wear"/>
    <n v="2"/>
    <n v="1150"/>
    <n v="50"/>
    <n v="2250"/>
    <n v="1400"/>
    <n v="850"/>
    <s v="Rohit"/>
    <s v="Main Store"/>
    <s v="Jabalpur"/>
    <s v="UPI"/>
    <n v="0.37777777777777799"/>
  </r>
  <r>
    <s v="INV10145"/>
    <d v="2026-05-10T00:00:00"/>
    <s v="May"/>
    <x v="82"/>
    <s v="P012"/>
    <s v="Kurta"/>
    <s v="Ethnic Wear"/>
    <n v="2"/>
    <n v="900"/>
    <n v="20"/>
    <n v="1780"/>
    <n v="1080"/>
    <n v="700"/>
    <s v="Neha"/>
    <s v="Main Store"/>
    <s v="Bhopal"/>
    <s v="UPI"/>
    <n v="0.39325842696629199"/>
  </r>
  <r>
    <s v="INV10146"/>
    <d v="2026-02-09T00:00:00"/>
    <s v="February"/>
    <x v="78"/>
    <s v="P003"/>
    <s v="Premium Shirt"/>
    <s v="Shirts"/>
    <n v="1"/>
    <n v="1250"/>
    <n v="20"/>
    <n v="1230"/>
    <n v="760"/>
    <n v="470"/>
    <s v="Priya"/>
    <s v="Main Store"/>
    <s v="Bhopal"/>
    <s v="UPI"/>
    <n v="0.38211382113821102"/>
  </r>
  <r>
    <s v="INV10147"/>
    <d v="2026-06-01T00:00:00"/>
    <s v="June"/>
    <x v="20"/>
    <s v="P003"/>
    <s v="Premium Shirt"/>
    <s v="Shirts"/>
    <n v="3"/>
    <n v="1250"/>
    <n v="20"/>
    <n v="3730"/>
    <n v="2280"/>
    <n v="1450"/>
    <s v="Sandeep"/>
    <s v="City Store"/>
    <s v="Jabalpur"/>
    <s v="UPI"/>
    <n v="0.38873994638069698"/>
  </r>
  <r>
    <s v="INV10148"/>
    <d v="2026-08-23T00:00:00"/>
    <s v="August"/>
    <x v="62"/>
    <s v="P015"/>
    <s v="Kids Jeans"/>
    <s v="Kids Wear"/>
    <n v="1"/>
    <n v="800"/>
    <n v="20"/>
    <n v="780"/>
    <n v="470"/>
    <n v="310"/>
    <s v="Neha"/>
    <s v="Main Store"/>
    <s v="Bhopal"/>
    <s v="UPI"/>
    <n v="0.39743589743589702"/>
  </r>
  <r>
    <s v="INV10149"/>
    <d v="2026-02-09T00:00:00"/>
    <s v="February"/>
    <x v="34"/>
    <s v="P010"/>
    <s v="Hoodie"/>
    <s v="Winter Wear"/>
    <n v="1"/>
    <n v="1450"/>
    <n v="0"/>
    <n v="1450"/>
    <n v="900"/>
    <n v="550"/>
    <s v="Amit"/>
    <s v="Main Store"/>
    <s v="Jabalpur"/>
    <s v="Cash"/>
    <n v="0.37931034482758602"/>
  </r>
  <r>
    <s v="INV10150"/>
    <d v="2026-08-30T00:00:00"/>
    <s v="August"/>
    <x v="68"/>
    <s v="P010"/>
    <s v="Hoodie"/>
    <s v="Winter Wear"/>
    <n v="1"/>
    <n v="1450"/>
    <n v="0"/>
    <n v="1450"/>
    <n v="900"/>
    <n v="550"/>
    <s v="Priya"/>
    <s v="City Store"/>
    <s v="Bhopal"/>
    <s v="UPI"/>
    <n v="0.37931034482758602"/>
  </r>
  <r>
    <s v="INV10151"/>
    <d v="2026-07-06T00:00:00"/>
    <s v="July"/>
    <x v="55"/>
    <s v="P002"/>
    <s v="Casual Shirt"/>
    <s v="Shirts"/>
    <n v="1"/>
    <n v="700"/>
    <n v="0"/>
    <n v="700"/>
    <n v="410"/>
    <n v="290"/>
    <s v="Sandeep"/>
    <s v="Main Store"/>
    <s v="Indore"/>
    <s v="Cash"/>
    <n v="0.41428571428571398"/>
  </r>
  <r>
    <s v="INV10152"/>
    <d v="2026-08-04T00:00:00"/>
    <s v="August"/>
    <x v="86"/>
    <s v="P001"/>
    <s v="Formal Shirt"/>
    <s v="Shirts"/>
    <n v="1"/>
    <n v="850"/>
    <n v="20"/>
    <n v="830"/>
    <n v="520"/>
    <n v="310"/>
    <s v="Sandeep"/>
    <s v="Main Store"/>
    <s v="Bhopal"/>
    <s v="Card"/>
    <n v="0.373493975903614"/>
  </r>
  <r>
    <s v="INV10153"/>
    <d v="2026-01-12T00:00:00"/>
    <s v="January"/>
    <x v="80"/>
    <s v="P006"/>
    <s v="Slim Jeans"/>
    <s v="Jeans"/>
    <n v="4"/>
    <n v="1350"/>
    <n v="75"/>
    <n v="5325"/>
    <n v="3400"/>
    <n v="1925"/>
    <s v="Neha"/>
    <s v="City Store"/>
    <s v="Jabalpur"/>
    <s v="Card"/>
    <n v="0.36150234741783999"/>
  </r>
  <r>
    <s v="INV10154"/>
    <d v="2026-05-25T00:00:00"/>
    <s v="May"/>
    <x v="47"/>
    <s v="P015"/>
    <s v="Kids Jeans"/>
    <s v="Kids Wear"/>
    <n v="1"/>
    <n v="800"/>
    <n v="20"/>
    <n v="780"/>
    <n v="470"/>
    <n v="310"/>
    <s v="Rohit"/>
    <s v="Main Store"/>
    <s v="Indore"/>
    <s v="Card"/>
    <n v="0.39743589743589702"/>
  </r>
  <r>
    <s v="INV10155"/>
    <d v="2026-04-25T00:00:00"/>
    <s v="April"/>
    <x v="12"/>
    <s v="P014"/>
    <s v="Kids Shirt"/>
    <s v="Kids Wear"/>
    <n v="1"/>
    <n v="600"/>
    <n v="50"/>
    <n v="550"/>
    <n v="350"/>
    <n v="200"/>
    <s v="Rohit"/>
    <s v="Main Store"/>
    <s v="Bhopal"/>
    <s v="Card"/>
    <n v="0.36363636363636398"/>
  </r>
  <r>
    <s v="INV10156"/>
    <d v="2026-05-26T00:00:00"/>
    <s v="May"/>
    <x v="16"/>
    <s v="P015"/>
    <s v="Kids Jeans"/>
    <s v="Kids Wear"/>
    <n v="3"/>
    <n v="800"/>
    <n v="75"/>
    <n v="2325"/>
    <n v="1410"/>
    <n v="915"/>
    <s v="Rohit"/>
    <s v="Main Store"/>
    <s v="Jabalpur"/>
    <s v="Cash"/>
    <n v="0.39354838709677398"/>
  </r>
  <r>
    <s v="INV10157"/>
    <d v="2026-04-08T00:00:00"/>
    <s v="April"/>
    <x v="4"/>
    <s v="P008"/>
    <s v="Cotton Trousers"/>
    <s v="Trousers"/>
    <n v="1"/>
    <n v="950"/>
    <n v="0"/>
    <n v="950"/>
    <n v="570"/>
    <n v="380"/>
    <s v="Sandeep"/>
    <s v="Main Store"/>
    <s v="Indore"/>
    <s v="Card"/>
    <n v="0.4"/>
  </r>
  <r>
    <s v="INV10158"/>
    <d v="2026-01-04T00:00:00"/>
    <s v="January"/>
    <x v="31"/>
    <s v="P012"/>
    <s v="Kurta"/>
    <s v="Ethnic Wear"/>
    <n v="2"/>
    <n v="900"/>
    <n v="75"/>
    <n v="1725"/>
    <n v="1080"/>
    <n v="645"/>
    <s v="Amit"/>
    <s v="Main Store"/>
    <s v="Indore"/>
    <s v="Cash"/>
    <n v="0.37391304347826099"/>
  </r>
  <r>
    <s v="INV10159"/>
    <d v="2026-02-24T00:00:00"/>
    <s v="February"/>
    <x v="65"/>
    <s v="P013"/>
    <s v="Kurta Set"/>
    <s v="Ethnic Wear"/>
    <n v="2"/>
    <n v="1500"/>
    <n v="0"/>
    <n v="3000"/>
    <n v="1840"/>
    <n v="1160"/>
    <s v="Rohit"/>
    <s v="City Store"/>
    <s v="Indore"/>
    <s v="UPI"/>
    <n v="0.38666666666666699"/>
  </r>
  <r>
    <s v="INV10160"/>
    <d v="2026-08-15T00:00:00"/>
    <s v="August"/>
    <x v="87"/>
    <s v="P013"/>
    <s v="Kurta Set"/>
    <s v="Ethnic Wear"/>
    <n v="1"/>
    <n v="1500"/>
    <n v="100"/>
    <n v="1400"/>
    <n v="920"/>
    <n v="480"/>
    <s v="Priya"/>
    <s v="Main Store"/>
    <s v="Indore"/>
    <s v="UPI"/>
    <n v="0.34285714285714303"/>
  </r>
  <r>
    <s v="INV10161"/>
    <d v="2026-07-03T00:00:00"/>
    <s v="July"/>
    <x v="17"/>
    <s v="P014"/>
    <s v="Kids Shirt"/>
    <s v="Kids Wear"/>
    <n v="1"/>
    <n v="600"/>
    <n v="50"/>
    <n v="550"/>
    <n v="350"/>
    <n v="200"/>
    <s v="Amit"/>
    <s v="City Store"/>
    <s v="Indore"/>
    <s v="UPI"/>
    <n v="0.36363636363636398"/>
  </r>
  <r>
    <s v="INV10162"/>
    <d v="2026-06-26T00:00:00"/>
    <s v="June"/>
    <x v="4"/>
    <s v="P007"/>
    <s v="Regular Jeans"/>
    <s v="Jeans"/>
    <n v="1"/>
    <n v="1100"/>
    <n v="50"/>
    <n v="1050"/>
    <n v="680"/>
    <n v="370"/>
    <s v="Sandeep"/>
    <s v="City Store"/>
    <s v="Indore"/>
    <s v="Card"/>
    <n v="0.35238095238095202"/>
  </r>
  <r>
    <s v="INV10163"/>
    <d v="2026-07-12T00:00:00"/>
    <s v="July"/>
    <x v="88"/>
    <s v="P002"/>
    <s v="Casual Shirt"/>
    <s v="Shirts"/>
    <n v="1"/>
    <n v="700"/>
    <n v="0"/>
    <n v="700"/>
    <n v="410"/>
    <n v="290"/>
    <s v="Amit"/>
    <s v="Main Store"/>
    <s v="Jabalpur"/>
    <s v="UPI"/>
    <n v="0.41428571428571398"/>
  </r>
  <r>
    <s v="INV10164"/>
    <d v="2026-03-02T00:00:00"/>
    <s v="March"/>
    <x v="68"/>
    <s v="P004"/>
    <s v="Basic T-Shirt"/>
    <s v="T-Shirts"/>
    <n v="1"/>
    <n v="550"/>
    <n v="82.5"/>
    <n v="467.5"/>
    <n v="300"/>
    <n v="167.5"/>
    <s v="Neha"/>
    <s v="City Store"/>
    <s v="Indore"/>
    <s v="Credit"/>
    <n v="0.35828877005347598"/>
  </r>
  <r>
    <s v="INV10165"/>
    <d v="2026-03-18T00:00:00"/>
    <s v="March"/>
    <x v="23"/>
    <s v="P015"/>
    <s v="Kids Jeans"/>
    <s v="Kids Wear"/>
    <n v="3"/>
    <n v="800"/>
    <n v="20"/>
    <n v="2380"/>
    <n v="1410"/>
    <n v="970"/>
    <s v="Amit"/>
    <s v="Main Store"/>
    <s v="Bhopal"/>
    <s v="UPI"/>
    <n v="0.40756302521008397"/>
  </r>
  <r>
    <s v="INV10166"/>
    <d v="2026-08-25T00:00:00"/>
    <s v="August"/>
    <x v="89"/>
    <s v="P013"/>
    <s v="Kurta Set"/>
    <s v="Ethnic Wear"/>
    <n v="2"/>
    <n v="1500"/>
    <n v="50"/>
    <n v="2950"/>
    <n v="1840"/>
    <n v="1110"/>
    <s v="Rohit"/>
    <s v="Main Store"/>
    <s v="Indore"/>
    <s v="UPI"/>
    <n v="0.37627118644067797"/>
  </r>
  <r>
    <s v="INV10167"/>
    <d v="2026-01-06T00:00:00"/>
    <s v="January"/>
    <x v="11"/>
    <s v="P009"/>
    <s v="Formal Trousers"/>
    <s v="Trousers"/>
    <n v="1"/>
    <n v="1200"/>
    <n v="50"/>
    <n v="1150"/>
    <n v="730"/>
    <n v="420"/>
    <s v="Sandeep"/>
    <s v="City Store"/>
    <s v="Bhopal"/>
    <s v="UPI"/>
    <n v="0.36521739130434799"/>
  </r>
  <r>
    <s v="INV10168"/>
    <d v="2026-03-02T00:00:00"/>
    <s v="March"/>
    <x v="7"/>
    <s v="P009"/>
    <s v="Formal Trousers"/>
    <s v="Trousers"/>
    <n v="3"/>
    <n v="1200"/>
    <n v="100"/>
    <n v="3500"/>
    <n v="2190"/>
    <n v="1310"/>
    <s v="Neha"/>
    <s v="City Store"/>
    <s v="Indore"/>
    <s v="Cash"/>
    <n v="0.374285714285714"/>
  </r>
  <r>
    <s v="INV10169"/>
    <d v="2026-01-13T00:00:00"/>
    <s v="January"/>
    <x v="71"/>
    <s v="P008"/>
    <s v="Cotton Trousers"/>
    <s v="Trousers"/>
    <n v="3"/>
    <n v="950"/>
    <n v="20"/>
    <n v="2830"/>
    <n v="1710"/>
    <n v="1120"/>
    <s v="Sandeep"/>
    <s v="Main Store"/>
    <s v="Jabalpur"/>
    <s v="Cash"/>
    <n v="0.395759717314488"/>
  </r>
  <r>
    <s v="INV10170"/>
    <d v="2026-07-03T00:00:00"/>
    <s v="July"/>
    <x v="90"/>
    <s v="P014"/>
    <s v="Kids Shirt"/>
    <s v="Kids Wear"/>
    <n v="3"/>
    <n v="600"/>
    <n v="20"/>
    <n v="1780"/>
    <n v="1050"/>
    <n v="730"/>
    <s v="Neha"/>
    <s v="City Store"/>
    <s v="Jabalpur"/>
    <s v="Card"/>
    <n v="0.41011235955056202"/>
  </r>
  <r>
    <s v="INV10171"/>
    <d v="2026-07-26T00:00:00"/>
    <s v="July"/>
    <x v="84"/>
    <s v="P009"/>
    <s v="Formal Trousers"/>
    <s v="Trousers"/>
    <n v="3"/>
    <n v="1200"/>
    <n v="0"/>
    <n v="3600"/>
    <n v="2190"/>
    <n v="1410"/>
    <s v="Amit"/>
    <s v="Main Store"/>
    <s v="Bhopal"/>
    <s v="UPI"/>
    <n v="0.391666666666667"/>
  </r>
  <r>
    <s v="INV10172"/>
    <d v="2026-05-13T00:00:00"/>
    <s v="May"/>
    <x v="12"/>
    <s v="P008"/>
    <s v="Cotton Trousers"/>
    <s v="Trousers"/>
    <n v="1"/>
    <n v="950"/>
    <n v="0"/>
    <n v="950"/>
    <n v="570"/>
    <n v="380"/>
    <s v="Rohit"/>
    <s v="City Store"/>
    <s v="Indore"/>
    <s v="Credit"/>
    <n v="0.4"/>
  </r>
  <r>
    <s v="INV10173"/>
    <d v="2026-04-24T00:00:00"/>
    <s v="April"/>
    <x v="84"/>
    <s v="P013"/>
    <s v="Kurta Set"/>
    <s v="Ethnic Wear"/>
    <n v="3"/>
    <n v="1500"/>
    <n v="100"/>
    <n v="4400"/>
    <n v="2760"/>
    <n v="1640"/>
    <s v="Sandeep"/>
    <s v="City Store"/>
    <s v="Indore"/>
    <s v="Cash"/>
    <n v="0.37272727272727302"/>
  </r>
  <r>
    <s v="INV10174"/>
    <d v="2026-02-09T00:00:00"/>
    <s v="February"/>
    <x v="91"/>
    <s v="P010"/>
    <s v="Hoodie"/>
    <s v="Winter Wear"/>
    <n v="2"/>
    <n v="1450"/>
    <n v="50"/>
    <n v="2850"/>
    <n v="1800"/>
    <n v="1050"/>
    <s v="Sandeep"/>
    <s v="Main Store"/>
    <s v="Jabalpur"/>
    <s v="Card"/>
    <n v="0.36842105263157898"/>
  </r>
  <r>
    <s v="INV10175"/>
    <d v="2026-02-28T00:00:00"/>
    <s v="February"/>
    <x v="16"/>
    <s v="P003"/>
    <s v="Premium Shirt"/>
    <s v="Shirts"/>
    <n v="3"/>
    <n v="1250"/>
    <n v="0"/>
    <n v="3750"/>
    <n v="2280"/>
    <n v="1470"/>
    <s v="Amit"/>
    <s v="Main Store"/>
    <s v="Bhopal"/>
    <s v="UPI"/>
    <n v="0.39200000000000002"/>
  </r>
  <r>
    <s v="INV10176"/>
    <d v="2026-06-15T00:00:00"/>
    <s v="June"/>
    <x v="92"/>
    <s v="P005"/>
    <s v="Polo T-Shirt"/>
    <s v="T-Shirts"/>
    <n v="2"/>
    <n v="750"/>
    <n v="50"/>
    <n v="1450"/>
    <n v="860"/>
    <n v="590"/>
    <s v="Sandeep"/>
    <s v="Main Store"/>
    <s v="Jabalpur"/>
    <s v="Card"/>
    <n v="0.40689655172413802"/>
  </r>
  <r>
    <s v="INV10177"/>
    <d v="2026-06-09T00:00:00"/>
    <s v="June"/>
    <x v="93"/>
    <s v="P003"/>
    <s v="Premium Shirt"/>
    <s v="Shirts"/>
    <n v="3"/>
    <n v="1250"/>
    <n v="0"/>
    <n v="3750"/>
    <n v="2280"/>
    <n v="1470"/>
    <s v="Sandeep"/>
    <s v="City Store"/>
    <s v="Bhopal"/>
    <s v="UPI"/>
    <n v="0.39200000000000002"/>
  </r>
  <r>
    <s v="INV10178"/>
    <d v="2026-01-12T00:00:00"/>
    <s v="January"/>
    <x v="87"/>
    <s v="P004"/>
    <s v="Basic T-Shirt"/>
    <s v="T-Shirts"/>
    <n v="2"/>
    <n v="550"/>
    <n v="50"/>
    <n v="1050"/>
    <n v="600"/>
    <n v="450"/>
    <s v="Rohit"/>
    <s v="City Store"/>
    <s v="Jabalpur"/>
    <s v="Cash"/>
    <n v="0.42857142857142899"/>
  </r>
  <r>
    <s v="INV10179"/>
    <d v="2026-04-08T00:00:00"/>
    <s v="April"/>
    <x v="92"/>
    <s v="P001"/>
    <s v="Formal Shirt"/>
    <s v="Shirts"/>
    <n v="2"/>
    <n v="850"/>
    <n v="0"/>
    <n v="1700"/>
    <n v="1040"/>
    <n v="660"/>
    <s v="Sandeep"/>
    <s v="Main Store"/>
    <s v="Indore"/>
    <s v="UPI"/>
    <n v="0.38823529411764701"/>
  </r>
  <r>
    <s v="INV10180"/>
    <d v="2026-03-04T00:00:00"/>
    <s v="March"/>
    <x v="94"/>
    <s v="P007"/>
    <s v="Regular Jeans"/>
    <s v="Jeans"/>
    <n v="1"/>
    <n v="1100"/>
    <n v="100"/>
    <n v="1000"/>
    <n v="680"/>
    <n v="320"/>
    <s v="Priya"/>
    <s v="Main Store"/>
    <s v="Indore"/>
    <s v="Card"/>
    <n v="0.32"/>
  </r>
  <r>
    <s v="INV10181"/>
    <d v="2026-08-30T00:00:00"/>
    <s v="August"/>
    <x v="37"/>
    <s v="P006"/>
    <s v="Slim Jeans"/>
    <s v="Jeans"/>
    <n v="3"/>
    <n v="1350"/>
    <n v="50"/>
    <n v="4000"/>
    <n v="2550"/>
    <n v="1450"/>
    <s v="Neha"/>
    <s v="City Store"/>
    <s v="Jabalpur"/>
    <s v="Card"/>
    <n v="0.36249999999999999"/>
  </r>
  <r>
    <s v="INV10182"/>
    <d v="2026-08-06T00:00:00"/>
    <s v="August"/>
    <x v="71"/>
    <s v="P001"/>
    <s v="Formal Shirt"/>
    <s v="Shirts"/>
    <n v="2"/>
    <n v="850"/>
    <n v="0"/>
    <n v="1700"/>
    <n v="1040"/>
    <n v="660"/>
    <s v="Neha"/>
    <s v="City Store"/>
    <s v="Indore"/>
    <s v="Credit"/>
    <n v="0.38823529411764701"/>
  </r>
  <r>
    <s v="INV10183"/>
    <d v="2026-08-15T00:00:00"/>
    <s v="August"/>
    <x v="95"/>
    <s v="P015"/>
    <s v="Kids Jeans"/>
    <s v="Kids Wear"/>
    <n v="4"/>
    <n v="800"/>
    <n v="50"/>
    <n v="3150"/>
    <n v="1880"/>
    <n v="1270"/>
    <s v="Sandeep"/>
    <s v="City Store"/>
    <s v="Bhopal"/>
    <s v="UPI"/>
    <n v="0.40317460317460302"/>
  </r>
  <r>
    <s v="INV10184"/>
    <d v="2026-06-28T00:00:00"/>
    <s v="June"/>
    <x v="69"/>
    <s v="P001"/>
    <s v="Formal Shirt"/>
    <s v="Shirts"/>
    <n v="1"/>
    <n v="850"/>
    <n v="20"/>
    <n v="830"/>
    <n v="520"/>
    <n v="310"/>
    <s v="Rohit"/>
    <s v="Main Store"/>
    <s v="Indore"/>
    <s v="UPI"/>
    <n v="0.373493975903614"/>
  </r>
  <r>
    <s v="INV10185"/>
    <d v="2026-05-21T00:00:00"/>
    <s v="May"/>
    <x v="49"/>
    <s v="P002"/>
    <s v="Casual Shirt"/>
    <s v="Shirts"/>
    <n v="4"/>
    <n v="700"/>
    <n v="20"/>
    <n v="2780"/>
    <n v="1640"/>
    <n v="1140"/>
    <s v="Sandeep"/>
    <s v="Main Store"/>
    <s v="Bhopal"/>
    <s v="UPI"/>
    <n v="0.410071942446043"/>
  </r>
  <r>
    <s v="INV10186"/>
    <d v="2026-07-22T00:00:00"/>
    <s v="July"/>
    <x v="57"/>
    <s v="P002"/>
    <s v="Casual Shirt"/>
    <s v="Shirts"/>
    <n v="2"/>
    <n v="700"/>
    <n v="0"/>
    <n v="1400"/>
    <n v="820"/>
    <n v="580"/>
    <s v="Neha"/>
    <s v="Main Store"/>
    <s v="Indore"/>
    <s v="UPI"/>
    <n v="0.41428571428571398"/>
  </r>
  <r>
    <s v="INV10187"/>
    <d v="2026-04-11T00:00:00"/>
    <s v="April"/>
    <x v="16"/>
    <s v="P012"/>
    <s v="Kurta"/>
    <s v="Ethnic Wear"/>
    <n v="2"/>
    <n v="900"/>
    <n v="75"/>
    <n v="1725"/>
    <n v="1080"/>
    <n v="645"/>
    <s v="Priya"/>
    <s v="City Store"/>
    <s v="Bhopal"/>
    <s v="UPI"/>
    <n v="0.37391304347826099"/>
  </r>
  <r>
    <s v="INV10188"/>
    <d v="2026-06-15T00:00:00"/>
    <s v="June"/>
    <x v="80"/>
    <s v="P003"/>
    <s v="Premium Shirt"/>
    <s v="Shirts"/>
    <n v="1"/>
    <n v="1250"/>
    <n v="0"/>
    <n v="1250"/>
    <n v="760"/>
    <n v="490"/>
    <s v="Rohit"/>
    <s v="Main Store"/>
    <s v="Bhopal"/>
    <s v="UPI"/>
    <n v="0.39200000000000002"/>
  </r>
  <r>
    <s v="INV10189"/>
    <d v="2026-08-24T00:00:00"/>
    <s v="August"/>
    <x v="96"/>
    <s v="P009"/>
    <s v="Formal Trousers"/>
    <s v="Trousers"/>
    <n v="2"/>
    <n v="1200"/>
    <n v="20"/>
    <n v="2380"/>
    <n v="1460"/>
    <n v="920"/>
    <s v="Neha"/>
    <s v="City Store"/>
    <s v="Indore"/>
    <s v="UPI"/>
    <n v="0.38655462184874001"/>
  </r>
  <r>
    <s v="INV10190"/>
    <d v="2026-06-23T00:00:00"/>
    <s v="June"/>
    <x v="35"/>
    <s v="P013"/>
    <s v="Kurta Set"/>
    <s v="Ethnic Wear"/>
    <n v="2"/>
    <n v="1500"/>
    <n v="50"/>
    <n v="2950"/>
    <n v="1840"/>
    <n v="1110"/>
    <s v="Priya"/>
    <s v="Main Store"/>
    <s v="Bhopal"/>
    <s v="Card"/>
    <n v="0.37627118644067797"/>
  </r>
  <r>
    <s v="INV10191"/>
    <d v="2026-05-11T00:00:00"/>
    <s v="May"/>
    <x v="26"/>
    <s v="P012"/>
    <s v="Kurta"/>
    <s v="Ethnic Wear"/>
    <n v="1"/>
    <n v="900"/>
    <n v="100"/>
    <n v="800"/>
    <n v="540"/>
    <n v="260"/>
    <s v="Amit"/>
    <s v="City Store"/>
    <s v="Indore"/>
    <s v="Cash"/>
    <n v="0.32500000000000001"/>
  </r>
  <r>
    <s v="INV10192"/>
    <d v="2026-06-15T00:00:00"/>
    <s v="June"/>
    <x v="12"/>
    <s v="P014"/>
    <s v="Kids Shirt"/>
    <s v="Kids Wear"/>
    <n v="2"/>
    <n v="600"/>
    <n v="20"/>
    <n v="1180"/>
    <n v="700"/>
    <n v="480"/>
    <s v="Amit"/>
    <s v="City Store"/>
    <s v="Bhopal"/>
    <s v="Cash"/>
    <n v="0.40677966101694901"/>
  </r>
  <r>
    <s v="INV10193"/>
    <d v="2026-05-19T00:00:00"/>
    <s v="May"/>
    <x v="97"/>
    <s v="P005"/>
    <s v="Polo T-Shirt"/>
    <s v="T-Shirts"/>
    <n v="1"/>
    <n v="750"/>
    <n v="50"/>
    <n v="700"/>
    <n v="430"/>
    <n v="270"/>
    <s v="Sandeep"/>
    <s v="Main Store"/>
    <s v="Jabalpur"/>
    <s v="UPI"/>
    <n v="0.38571428571428601"/>
  </r>
  <r>
    <s v="INV10194"/>
    <d v="2026-02-01T00:00:00"/>
    <s v="February"/>
    <x v="78"/>
    <s v="P002"/>
    <s v="Casual Shirt"/>
    <s v="Shirts"/>
    <n v="1"/>
    <n v="700"/>
    <n v="50"/>
    <n v="650"/>
    <n v="410"/>
    <n v="240"/>
    <s v="Sandeep"/>
    <s v="Main Store"/>
    <s v="Jabalpur"/>
    <s v="Credit"/>
    <n v="0.36923076923076897"/>
  </r>
  <r>
    <s v="INV10195"/>
    <d v="2026-03-29T00:00:00"/>
    <s v="March"/>
    <x v="98"/>
    <s v="P009"/>
    <s v="Formal Trousers"/>
    <s v="Trousers"/>
    <n v="1"/>
    <n v="1200"/>
    <n v="20"/>
    <n v="1180"/>
    <n v="730"/>
    <n v="450"/>
    <s v="Amit"/>
    <s v="City Store"/>
    <s v="Jabalpur"/>
    <s v="Cash"/>
    <n v="0.38135593220338998"/>
  </r>
  <r>
    <s v="INV10196"/>
    <d v="2026-05-28T00:00:00"/>
    <s v="May"/>
    <x v="24"/>
    <s v="P015"/>
    <s v="Kids Jeans"/>
    <s v="Kids Wear"/>
    <n v="1"/>
    <n v="800"/>
    <n v="50"/>
    <n v="750"/>
    <n v="470"/>
    <n v="280"/>
    <s v="Rohit"/>
    <s v="City Store"/>
    <s v="Indore"/>
    <s v="UPI"/>
    <n v="0.37333333333333302"/>
  </r>
  <r>
    <s v="INV10197"/>
    <d v="2026-06-07T00:00:00"/>
    <s v="June"/>
    <x v="24"/>
    <s v="P002"/>
    <s v="Casual Shirt"/>
    <s v="Shirts"/>
    <n v="1"/>
    <n v="700"/>
    <n v="75"/>
    <n v="625"/>
    <n v="410"/>
    <n v="215"/>
    <s v="Sandeep"/>
    <s v="City Store"/>
    <s v="Indore"/>
    <s v="UPI"/>
    <n v="0.34399999999999997"/>
  </r>
  <r>
    <s v="INV10198"/>
    <d v="2026-05-02T00:00:00"/>
    <s v="May"/>
    <x v="5"/>
    <s v="P002"/>
    <s v="Casual Shirt"/>
    <s v="Shirts"/>
    <n v="4"/>
    <n v="700"/>
    <n v="0"/>
    <n v="2800"/>
    <n v="1640"/>
    <n v="1160"/>
    <s v="Rohit"/>
    <s v="City Store"/>
    <s v="Bhopal"/>
    <s v="Cash"/>
    <n v="0.41428571428571398"/>
  </r>
  <r>
    <s v="INV10199"/>
    <d v="2026-05-14T00:00:00"/>
    <s v="May"/>
    <x v="79"/>
    <s v="P008"/>
    <s v="Cotton Trousers"/>
    <s v="Trousers"/>
    <n v="2"/>
    <n v="950"/>
    <n v="50"/>
    <n v="1850"/>
    <n v="1140"/>
    <n v="710"/>
    <s v="Amit"/>
    <s v="Main Store"/>
    <s v="Bhopal"/>
    <s v="Cash"/>
    <n v="0.38378378378378403"/>
  </r>
  <r>
    <s v="INV10200"/>
    <d v="2026-04-02T00:00:00"/>
    <s v="April"/>
    <x v="38"/>
    <s v="P002"/>
    <s v="Casual Shirt"/>
    <s v="Shirts"/>
    <n v="3"/>
    <n v="700"/>
    <n v="100"/>
    <n v="2000"/>
    <n v="1230"/>
    <n v="770"/>
    <s v="Priya"/>
    <s v="City Store"/>
    <s v="Bhopal"/>
    <s v="Card"/>
    <n v="0.38500000000000001"/>
  </r>
  <r>
    <s v="INV10201"/>
    <d v="2026-05-14T00:00:00"/>
    <s v="May"/>
    <x v="85"/>
    <s v="P007"/>
    <s v="Regular Jeans"/>
    <s v="Jeans"/>
    <n v="2"/>
    <n v="1100"/>
    <n v="20"/>
    <n v="2180"/>
    <n v="1360"/>
    <n v="820"/>
    <s v="Rohit"/>
    <s v="Main Store"/>
    <s v="Bhopal"/>
    <s v="UPI"/>
    <n v="0.37614678899082599"/>
  </r>
  <r>
    <s v="INV10202"/>
    <d v="2026-01-12T00:00:00"/>
    <s v="January"/>
    <x v="21"/>
    <s v="P012"/>
    <s v="Kurta"/>
    <s v="Ethnic Wear"/>
    <n v="2"/>
    <n v="900"/>
    <n v="0"/>
    <n v="1800"/>
    <n v="1080"/>
    <n v="720"/>
    <s v="Priya"/>
    <s v="Main Store"/>
    <s v="Jabalpur"/>
    <s v="Card"/>
    <n v="0.4"/>
  </r>
  <r>
    <s v="INV10203"/>
    <d v="2026-06-22T00:00:00"/>
    <s v="June"/>
    <x v="6"/>
    <s v="P010"/>
    <s v="Hoodie"/>
    <s v="Winter Wear"/>
    <n v="1"/>
    <n v="1450"/>
    <n v="20"/>
    <n v="1430"/>
    <n v="900"/>
    <n v="530"/>
    <s v="Sandeep"/>
    <s v="Main Store"/>
    <s v="Jabalpur"/>
    <s v="Cash"/>
    <n v="0.37062937062937101"/>
  </r>
  <r>
    <s v="INV10204"/>
    <d v="2026-07-30T00:00:00"/>
    <s v="July"/>
    <x v="99"/>
    <s v="P003"/>
    <s v="Premium Shirt"/>
    <s v="Shirts"/>
    <n v="1"/>
    <n v="1250"/>
    <n v="0"/>
    <n v="1250"/>
    <n v="760"/>
    <n v="490"/>
    <s v="Sandeep"/>
    <s v="City Store"/>
    <s v="Jabalpur"/>
    <s v="Cash"/>
    <n v="0.39200000000000002"/>
  </r>
  <r>
    <s v="INV10205"/>
    <d v="2026-04-03T00:00:00"/>
    <s v="April"/>
    <x v="82"/>
    <s v="P012"/>
    <s v="Kurta"/>
    <s v="Ethnic Wear"/>
    <n v="1"/>
    <n v="900"/>
    <n v="50"/>
    <n v="850"/>
    <n v="540"/>
    <n v="310"/>
    <s v="Amit"/>
    <s v="Main Store"/>
    <s v="Jabalpur"/>
    <s v="Card"/>
    <n v="0.36470588235294099"/>
  </r>
  <r>
    <s v="INV10206"/>
    <d v="2026-02-06T00:00:00"/>
    <s v="February"/>
    <x v="42"/>
    <s v="P015"/>
    <s v="Kids Jeans"/>
    <s v="Kids Wear"/>
    <n v="1"/>
    <n v="800"/>
    <n v="75"/>
    <n v="725"/>
    <n v="470"/>
    <n v="255"/>
    <s v="Priya"/>
    <s v="City Store"/>
    <s v="Indore"/>
    <s v="Credit"/>
    <n v="0.35172413793103402"/>
  </r>
  <r>
    <s v="INV10207"/>
    <d v="2026-04-15T00:00:00"/>
    <s v="April"/>
    <x v="100"/>
    <s v="P008"/>
    <s v="Cotton Trousers"/>
    <s v="Trousers"/>
    <n v="1"/>
    <n v="950"/>
    <n v="20"/>
    <n v="930"/>
    <n v="570"/>
    <n v="360"/>
    <s v="Rohit"/>
    <s v="Main Store"/>
    <s v="Indore"/>
    <s v="Cash"/>
    <n v="0.38709677419354799"/>
  </r>
  <r>
    <s v="INV10208"/>
    <d v="2026-02-08T00:00:00"/>
    <s v="February"/>
    <x v="14"/>
    <s v="P002"/>
    <s v="Casual Shirt"/>
    <s v="Shirts"/>
    <n v="2"/>
    <n v="700"/>
    <n v="50"/>
    <n v="1350"/>
    <n v="820"/>
    <n v="530"/>
    <s v="Neha"/>
    <s v="Main Store"/>
    <s v="Indore"/>
    <s v="Card"/>
    <n v="0.39259259259259299"/>
  </r>
  <r>
    <s v="INV10209"/>
    <d v="2026-01-21T00:00:00"/>
    <s v="January"/>
    <x v="80"/>
    <s v="P012"/>
    <s v="Kurta"/>
    <s v="Ethnic Wear"/>
    <n v="1"/>
    <n v="900"/>
    <n v="20"/>
    <n v="880"/>
    <n v="540"/>
    <n v="340"/>
    <s v="Amit"/>
    <s v="Main Store"/>
    <s v="Indore"/>
    <s v="Card"/>
    <n v="0.38636363636363602"/>
  </r>
  <r>
    <s v="INV10210"/>
    <d v="2026-03-19T00:00:00"/>
    <s v="March"/>
    <x v="77"/>
    <s v="P014"/>
    <s v="Kids Shirt"/>
    <s v="Kids Wear"/>
    <n v="1"/>
    <n v="600"/>
    <n v="0"/>
    <n v="600"/>
    <n v="350"/>
    <n v="250"/>
    <s v="Sandeep"/>
    <s v="Main Store"/>
    <s v="Indore"/>
    <s v="Cash"/>
    <n v="0.41666666666666702"/>
  </r>
  <r>
    <s v="INV10211"/>
    <d v="2026-01-14T00:00:00"/>
    <s v="January"/>
    <x v="71"/>
    <s v="P014"/>
    <s v="Kids Shirt"/>
    <s v="Kids Wear"/>
    <n v="1"/>
    <n v="600"/>
    <n v="20"/>
    <n v="580"/>
    <n v="350"/>
    <n v="230"/>
    <s v="Amit"/>
    <s v="City Store"/>
    <s v="Indore"/>
    <s v="UPI"/>
    <n v="0.39655172413793099"/>
  </r>
  <r>
    <s v="INV10212"/>
    <d v="2026-03-07T00:00:00"/>
    <s v="March"/>
    <x v="51"/>
    <s v="P001"/>
    <s v="Formal Shirt"/>
    <s v="Shirts"/>
    <n v="1"/>
    <n v="850"/>
    <n v="100"/>
    <n v="750"/>
    <n v="520"/>
    <n v="230"/>
    <s v="Sandeep"/>
    <s v="Main Store"/>
    <s v="Bhopal"/>
    <s v="Cash"/>
    <n v="0.30666666666666698"/>
  </r>
  <r>
    <s v="INV10213"/>
    <d v="2026-02-16T00:00:00"/>
    <s v="February"/>
    <x v="101"/>
    <s v="P012"/>
    <s v="Kurta"/>
    <s v="Ethnic Wear"/>
    <n v="1"/>
    <n v="900"/>
    <n v="100"/>
    <n v="800"/>
    <n v="540"/>
    <n v="260"/>
    <s v="Neha"/>
    <s v="City Store"/>
    <s v="Bhopal"/>
    <s v="UPI"/>
    <n v="0.32500000000000001"/>
  </r>
  <r>
    <s v="INV10214"/>
    <d v="2026-04-15T00:00:00"/>
    <s v="April"/>
    <x v="13"/>
    <s v="P010"/>
    <s v="Hoodie"/>
    <s v="Winter Wear"/>
    <n v="1"/>
    <n v="1450"/>
    <n v="50"/>
    <n v="1400"/>
    <n v="900"/>
    <n v="500"/>
    <s v="Sandeep"/>
    <s v="City Store"/>
    <s v="Bhopal"/>
    <s v="Card"/>
    <n v="0.35714285714285698"/>
  </r>
  <r>
    <s v="INV10215"/>
    <d v="2026-05-01T00:00:00"/>
    <s v="May"/>
    <x v="93"/>
    <s v="P009"/>
    <s v="Formal Trousers"/>
    <s v="Trousers"/>
    <n v="1"/>
    <n v="1200"/>
    <n v="0"/>
    <n v="1200"/>
    <n v="730"/>
    <n v="470"/>
    <s v="Sandeep"/>
    <s v="Main Store"/>
    <s v="Jabalpur"/>
    <s v="Cash"/>
    <n v="0.391666666666667"/>
  </r>
  <r>
    <s v="INV10216"/>
    <d v="2026-06-05T00:00:00"/>
    <s v="June"/>
    <x v="29"/>
    <s v="P001"/>
    <s v="Formal Shirt"/>
    <s v="Shirts"/>
    <n v="2"/>
    <n v="850"/>
    <n v="75"/>
    <n v="1625"/>
    <n v="1040"/>
    <n v="585"/>
    <s v="Priya"/>
    <s v="Main Store"/>
    <s v="Jabalpur"/>
    <s v="UPI"/>
    <n v="0.36"/>
  </r>
  <r>
    <s v="INV10217"/>
    <d v="2026-01-20T00:00:00"/>
    <s v="January"/>
    <x v="61"/>
    <s v="P014"/>
    <s v="Kids Shirt"/>
    <s v="Kids Wear"/>
    <n v="1"/>
    <n v="600"/>
    <n v="20"/>
    <n v="580"/>
    <n v="350"/>
    <n v="230"/>
    <s v="Sandeep"/>
    <s v="Main Store"/>
    <s v="Bhopal"/>
    <s v="UPI"/>
    <n v="0.39655172413793099"/>
  </r>
  <r>
    <s v="INV10218"/>
    <d v="2026-08-29T00:00:00"/>
    <s v="August"/>
    <x v="36"/>
    <s v="P005"/>
    <s v="Polo T-Shirt"/>
    <s v="T-Shirts"/>
    <n v="3"/>
    <n v="750"/>
    <n v="0"/>
    <n v="2250"/>
    <n v="1290"/>
    <n v="960"/>
    <s v="Priya"/>
    <s v="City Store"/>
    <s v="Jabalpur"/>
    <s v="Cash"/>
    <n v="0.42666666666666703"/>
  </r>
  <r>
    <s v="INV10219"/>
    <d v="2026-02-19T00:00:00"/>
    <s v="February"/>
    <x v="43"/>
    <s v="P011"/>
    <s v="Sweatshirt"/>
    <s v="Winter Wear"/>
    <n v="1"/>
    <n v="1150"/>
    <n v="100"/>
    <n v="1050"/>
    <n v="700"/>
    <n v="350"/>
    <s v="Amit"/>
    <s v="Main Store"/>
    <s v="Bhopal"/>
    <s v="UPI"/>
    <n v="0.33333333333333298"/>
  </r>
  <r>
    <s v="INV10220"/>
    <d v="2026-03-25T00:00:00"/>
    <s v="March"/>
    <x v="47"/>
    <s v="P011"/>
    <s v="Sweatshirt"/>
    <s v="Winter Wear"/>
    <n v="1"/>
    <n v="1150"/>
    <n v="50"/>
    <n v="1100"/>
    <n v="700"/>
    <n v="400"/>
    <s v="Sandeep"/>
    <s v="City Store"/>
    <s v="Indore"/>
    <s v="UPI"/>
    <n v="0.36363636363636398"/>
  </r>
  <r>
    <s v="INV10221"/>
    <d v="2026-01-08T00:00:00"/>
    <s v="January"/>
    <x v="43"/>
    <s v="P007"/>
    <s v="Regular Jeans"/>
    <s v="Jeans"/>
    <n v="1"/>
    <n v="1100"/>
    <n v="0"/>
    <n v="1100"/>
    <n v="680"/>
    <n v="420"/>
    <s v="Sandeep"/>
    <s v="Main Store"/>
    <s v="Indore"/>
    <s v="UPI"/>
    <n v="0.381818181818182"/>
  </r>
  <r>
    <s v="INV10222"/>
    <d v="2026-07-21T00:00:00"/>
    <s v="July"/>
    <x v="28"/>
    <s v="P001"/>
    <s v="Formal Shirt"/>
    <s v="Shirts"/>
    <n v="2"/>
    <n v="850"/>
    <n v="100"/>
    <n v="1600"/>
    <n v="1040"/>
    <n v="560"/>
    <s v="Rohit"/>
    <s v="City Store"/>
    <s v="Jabalpur"/>
    <s v="Card"/>
    <n v="0.35"/>
  </r>
  <r>
    <s v="INV10223"/>
    <d v="2026-03-13T00:00:00"/>
    <s v="March"/>
    <x v="9"/>
    <s v="P015"/>
    <s v="Kids Jeans"/>
    <s v="Kids Wear"/>
    <n v="2"/>
    <n v="800"/>
    <n v="0"/>
    <n v="1600"/>
    <n v="940"/>
    <n v="660"/>
    <s v="Priya"/>
    <s v="Main Store"/>
    <s v="Jabalpur"/>
    <s v="UPI"/>
    <n v="0.41249999999999998"/>
  </r>
  <r>
    <s v="INV10224"/>
    <d v="2026-03-31T00:00:00"/>
    <s v="March"/>
    <x v="38"/>
    <s v="P014"/>
    <s v="Kids Shirt"/>
    <s v="Kids Wear"/>
    <n v="1"/>
    <n v="600"/>
    <n v="50"/>
    <n v="550"/>
    <n v="350"/>
    <n v="200"/>
    <s v="Priya"/>
    <s v="City Store"/>
    <s v="Indore"/>
    <s v="Cash"/>
    <n v="0.36363636363636398"/>
  </r>
  <r>
    <s v="INV10225"/>
    <d v="2026-06-25T00:00:00"/>
    <s v="June"/>
    <x v="102"/>
    <s v="P015"/>
    <s v="Kids Jeans"/>
    <s v="Kids Wear"/>
    <n v="4"/>
    <n v="800"/>
    <n v="20"/>
    <n v="3180"/>
    <n v="1880"/>
    <n v="1300"/>
    <s v="Amit"/>
    <s v="Main Store"/>
    <s v="Jabalpur"/>
    <s v="UPI"/>
    <n v="0.40880503144654101"/>
  </r>
  <r>
    <s v="INV10226"/>
    <d v="2026-08-26T00:00:00"/>
    <s v="August"/>
    <x v="42"/>
    <s v="P011"/>
    <s v="Sweatshirt"/>
    <s v="Winter Wear"/>
    <n v="3"/>
    <n v="1150"/>
    <n v="20"/>
    <n v="3430"/>
    <n v="2100"/>
    <n v="1330"/>
    <s v="Neha"/>
    <s v="City Store"/>
    <s v="Indore"/>
    <s v="Card"/>
    <n v="0.38775510204081598"/>
  </r>
  <r>
    <s v="INV10227"/>
    <d v="2026-05-09T00:00:00"/>
    <s v="May"/>
    <x v="10"/>
    <s v="P009"/>
    <s v="Formal Trousers"/>
    <s v="Trousers"/>
    <n v="1"/>
    <n v="1200"/>
    <n v="75"/>
    <n v="1125"/>
    <n v="730"/>
    <n v="395"/>
    <s v="Amit"/>
    <s v="Main Store"/>
    <s v="Bhopal"/>
    <s v="Cash"/>
    <n v="0.35111111111111099"/>
  </r>
  <r>
    <s v="INV10228"/>
    <d v="2026-03-01T00:00:00"/>
    <s v="March"/>
    <x v="31"/>
    <s v="P010"/>
    <s v="Hoodie"/>
    <s v="Winter Wear"/>
    <n v="1"/>
    <n v="1450"/>
    <n v="50"/>
    <n v="1400"/>
    <n v="900"/>
    <n v="500"/>
    <s v="Amit"/>
    <s v="Main Store"/>
    <s v="Jabalpur"/>
    <s v="Cash"/>
    <n v="0.35714285714285698"/>
  </r>
  <r>
    <s v="INV10229"/>
    <d v="2026-04-09T00:00:00"/>
    <s v="April"/>
    <x v="19"/>
    <s v="P003"/>
    <s v="Premium Shirt"/>
    <s v="Shirts"/>
    <n v="1"/>
    <n v="1250"/>
    <n v="0"/>
    <n v="1250"/>
    <n v="760"/>
    <n v="490"/>
    <s v="Rohit"/>
    <s v="City Store"/>
    <s v="Indore"/>
    <s v="Cash"/>
    <n v="0.39200000000000002"/>
  </r>
  <r>
    <s v="INV10230"/>
    <d v="2026-07-17T00:00:00"/>
    <s v="July"/>
    <x v="94"/>
    <s v="P005"/>
    <s v="Polo T-Shirt"/>
    <s v="T-Shirts"/>
    <n v="3"/>
    <n v="750"/>
    <n v="20"/>
    <n v="2230"/>
    <n v="1290"/>
    <n v="940"/>
    <s v="Sandeep"/>
    <s v="Main Store"/>
    <s v="Indore"/>
    <s v="UPI"/>
    <n v="0.42152466367712998"/>
  </r>
  <r>
    <s v="INV10231"/>
    <d v="2026-02-13T00:00:00"/>
    <s v="February"/>
    <x v="103"/>
    <s v="P005"/>
    <s v="Polo T-Shirt"/>
    <s v="T-Shirts"/>
    <n v="1"/>
    <n v="750"/>
    <n v="20"/>
    <n v="730"/>
    <n v="430"/>
    <n v="300"/>
    <s v="Neha"/>
    <s v="City Store"/>
    <s v="Bhopal"/>
    <s v="Card"/>
    <n v="0.41095890410958902"/>
  </r>
  <r>
    <s v="INV10232"/>
    <d v="2026-01-21T00:00:00"/>
    <s v="January"/>
    <x v="47"/>
    <s v="P002"/>
    <s v="Casual Shirt"/>
    <s v="Shirts"/>
    <n v="2"/>
    <n v="700"/>
    <n v="20"/>
    <n v="1380"/>
    <n v="820"/>
    <n v="560"/>
    <s v="Neha"/>
    <s v="Main Store"/>
    <s v="Bhopal"/>
    <s v="UPI"/>
    <n v="0.405797101449275"/>
  </r>
  <r>
    <s v="INV10233"/>
    <d v="2026-01-15T00:00:00"/>
    <s v="January"/>
    <x v="37"/>
    <s v="P015"/>
    <s v="Kids Jeans"/>
    <s v="Kids Wear"/>
    <n v="1"/>
    <n v="800"/>
    <n v="100"/>
    <n v="700"/>
    <n v="470"/>
    <n v="230"/>
    <s v="Sandeep"/>
    <s v="Main Store"/>
    <s v="Indore"/>
    <s v="UPI"/>
    <n v="0.32857142857142901"/>
  </r>
  <r>
    <s v="INV10234"/>
    <d v="2026-02-21T00:00:00"/>
    <s v="February"/>
    <x v="89"/>
    <s v="P014"/>
    <s v="Kids Shirt"/>
    <s v="Kids Wear"/>
    <n v="1"/>
    <n v="600"/>
    <n v="0"/>
    <n v="600"/>
    <n v="350"/>
    <n v="250"/>
    <s v="Neha"/>
    <s v="Main Store"/>
    <s v="Bhopal"/>
    <s v="Cash"/>
    <n v="0.41666666666666702"/>
  </r>
  <r>
    <s v="INV10235"/>
    <d v="2026-05-26T00:00:00"/>
    <s v="May"/>
    <x v="77"/>
    <s v="P008"/>
    <s v="Cotton Trousers"/>
    <s v="Trousers"/>
    <n v="1"/>
    <n v="950"/>
    <n v="50"/>
    <n v="900"/>
    <n v="570"/>
    <n v="330"/>
    <s v="Amit"/>
    <s v="Main Store"/>
    <s v="Indore"/>
    <s v="UPI"/>
    <n v="0.36666666666666697"/>
  </r>
  <r>
    <s v="INV10236"/>
    <d v="2026-02-08T00:00:00"/>
    <s v="February"/>
    <x v="102"/>
    <s v="P011"/>
    <s v="Sweatshirt"/>
    <s v="Winter Wear"/>
    <n v="1"/>
    <n v="1150"/>
    <n v="75"/>
    <n v="1075"/>
    <n v="700"/>
    <n v="375"/>
    <s v="Amit"/>
    <s v="City Store"/>
    <s v="Jabalpur"/>
    <s v="UPI"/>
    <n v="0.34883720930232598"/>
  </r>
  <r>
    <s v="INV10237"/>
    <d v="2026-02-23T00:00:00"/>
    <s v="February"/>
    <x v="13"/>
    <s v="P004"/>
    <s v="Basic T-Shirt"/>
    <s v="T-Shirts"/>
    <n v="1"/>
    <n v="550"/>
    <n v="0"/>
    <n v="550"/>
    <n v="300"/>
    <n v="250"/>
    <s v="Priya"/>
    <s v="City Store"/>
    <s v="Jabalpur"/>
    <s v="Cash"/>
    <n v="0.45454545454545398"/>
  </r>
  <r>
    <s v="INV10238"/>
    <d v="2026-01-21T00:00:00"/>
    <s v="January"/>
    <x v="66"/>
    <s v="P011"/>
    <s v="Sweatshirt"/>
    <s v="Winter Wear"/>
    <n v="1"/>
    <n v="1150"/>
    <n v="50"/>
    <n v="1100"/>
    <n v="700"/>
    <n v="400"/>
    <s v="Priya"/>
    <s v="Main Store"/>
    <s v="Indore"/>
    <s v="UPI"/>
    <n v="0.36363636363636398"/>
  </r>
  <r>
    <s v="INV10239"/>
    <d v="2026-06-19T00:00:00"/>
    <s v="June"/>
    <x v="19"/>
    <s v="P010"/>
    <s v="Hoodie"/>
    <s v="Winter Wear"/>
    <n v="1"/>
    <n v="1450"/>
    <n v="20"/>
    <n v="1430"/>
    <n v="900"/>
    <n v="530"/>
    <s v="Amit"/>
    <s v="City Store"/>
    <s v="Bhopal"/>
    <s v="Card"/>
    <n v="0.37062937062937101"/>
  </r>
  <r>
    <s v="INV10240"/>
    <d v="2026-06-16T00:00:00"/>
    <s v="June"/>
    <x v="83"/>
    <s v="P002"/>
    <s v="Casual Shirt"/>
    <s v="Shirts"/>
    <n v="2"/>
    <n v="700"/>
    <n v="75"/>
    <n v="1325"/>
    <n v="820"/>
    <n v="505"/>
    <s v="Amit"/>
    <s v="City Store"/>
    <s v="Bhopal"/>
    <s v="Cash"/>
    <n v="0.38113207547169797"/>
  </r>
  <r>
    <s v="INV10241"/>
    <d v="2026-02-18T00:00:00"/>
    <s v="February"/>
    <x v="65"/>
    <s v="P001"/>
    <s v="Formal Shirt"/>
    <s v="Shirts"/>
    <n v="1"/>
    <n v="850"/>
    <n v="0"/>
    <n v="850"/>
    <n v="520"/>
    <n v="330"/>
    <s v="Priya"/>
    <s v="City Store"/>
    <s v="Jabalpur"/>
    <s v="UPI"/>
    <n v="0.38823529411764701"/>
  </r>
  <r>
    <s v="INV10242"/>
    <d v="2026-06-12T00:00:00"/>
    <s v="June"/>
    <x v="3"/>
    <s v="P001"/>
    <s v="Formal Shirt"/>
    <s v="Shirts"/>
    <n v="1"/>
    <n v="850"/>
    <n v="0"/>
    <n v="850"/>
    <n v="520"/>
    <n v="330"/>
    <s v="Neha"/>
    <s v="City Store"/>
    <s v="Jabalpur"/>
    <s v="UPI"/>
    <n v="0.38823529411764701"/>
  </r>
  <r>
    <s v="INV10243"/>
    <d v="2026-03-05T00:00:00"/>
    <s v="March"/>
    <x v="51"/>
    <s v="P013"/>
    <s v="Kurta Set"/>
    <s v="Ethnic Wear"/>
    <n v="1"/>
    <n v="1500"/>
    <n v="0"/>
    <n v="1500"/>
    <n v="920"/>
    <n v="580"/>
    <s v="Sandeep"/>
    <s v="City Store"/>
    <s v="Bhopal"/>
    <s v="UPI"/>
    <n v="0.38666666666666699"/>
  </r>
  <r>
    <s v="INV10244"/>
    <d v="2026-08-19T00:00:00"/>
    <s v="August"/>
    <x v="1"/>
    <s v="P013"/>
    <s v="Kurta Set"/>
    <s v="Ethnic Wear"/>
    <n v="2"/>
    <n v="1500"/>
    <n v="50"/>
    <n v="2950"/>
    <n v="1840"/>
    <n v="1110"/>
    <s v="Priya"/>
    <s v="City Store"/>
    <s v="Bhopal"/>
    <s v="Cash"/>
    <n v="0.37627118644067797"/>
  </r>
  <r>
    <s v="INV10245"/>
    <d v="2026-08-26T00:00:00"/>
    <s v="August"/>
    <x v="100"/>
    <s v="P006"/>
    <s v="Slim Jeans"/>
    <s v="Jeans"/>
    <n v="2"/>
    <n v="1350"/>
    <n v="0"/>
    <n v="2700"/>
    <n v="1700"/>
    <n v="1000"/>
    <s v="Sandeep"/>
    <s v="Main Store"/>
    <s v="Bhopal"/>
    <s v="UPI"/>
    <n v="0.37037037037037002"/>
  </r>
  <r>
    <s v="INV10246"/>
    <d v="2026-07-15T00:00:00"/>
    <s v="July"/>
    <x v="102"/>
    <s v="P001"/>
    <s v="Formal Shirt"/>
    <s v="Shirts"/>
    <n v="1"/>
    <n v="850"/>
    <n v="20"/>
    <n v="830"/>
    <n v="520"/>
    <n v="310"/>
    <s v="Amit"/>
    <s v="City Store"/>
    <s v="Indore"/>
    <s v="Cash"/>
    <n v="0.373493975903614"/>
  </r>
  <r>
    <s v="INV10247"/>
    <d v="2026-08-18T00:00:00"/>
    <s v="August"/>
    <x v="19"/>
    <s v="P012"/>
    <s v="Kurta"/>
    <s v="Ethnic Wear"/>
    <n v="1"/>
    <n v="900"/>
    <n v="20"/>
    <n v="880"/>
    <n v="540"/>
    <n v="340"/>
    <s v="Rohit"/>
    <s v="Main Store"/>
    <s v="Indore"/>
    <s v="UPI"/>
    <n v="0.38636363636363602"/>
  </r>
  <r>
    <s v="INV10248"/>
    <d v="2026-08-03T00:00:00"/>
    <s v="August"/>
    <x v="30"/>
    <s v="P010"/>
    <s v="Hoodie"/>
    <s v="Winter Wear"/>
    <n v="1"/>
    <n v="1450"/>
    <n v="50"/>
    <n v="1400"/>
    <n v="900"/>
    <n v="500"/>
    <s v="Rohit"/>
    <s v="City Store"/>
    <s v="Jabalpur"/>
    <s v="Credit"/>
    <n v="0.35714285714285698"/>
  </r>
  <r>
    <s v="INV10249"/>
    <d v="2026-02-13T00:00:00"/>
    <s v="February"/>
    <x v="85"/>
    <s v="P007"/>
    <s v="Regular Jeans"/>
    <s v="Jeans"/>
    <n v="1"/>
    <n v="1100"/>
    <n v="0"/>
    <n v="1100"/>
    <n v="680"/>
    <n v="420"/>
    <s v="Priya"/>
    <s v="Main Store"/>
    <s v="Jabalpur"/>
    <s v="Cash"/>
    <n v="0.381818181818182"/>
  </r>
  <r>
    <s v="INV10250"/>
    <d v="2026-07-09T00:00:00"/>
    <s v="July"/>
    <x v="28"/>
    <s v="P015"/>
    <s v="Kids Jeans"/>
    <s v="Kids Wear"/>
    <n v="1"/>
    <n v="800"/>
    <n v="20"/>
    <n v="780"/>
    <n v="470"/>
    <n v="310"/>
    <s v="Amit"/>
    <s v="Main Store"/>
    <s v="Jabalpur"/>
    <s v="UPI"/>
    <n v="0.39743589743589702"/>
  </r>
  <r>
    <s v="INV10251"/>
    <d v="2026-08-25T00:00:00"/>
    <s v="August"/>
    <x v="47"/>
    <s v="P008"/>
    <s v="Cotton Trousers"/>
    <s v="Trousers"/>
    <n v="2"/>
    <n v="950"/>
    <n v="100"/>
    <n v="1800"/>
    <n v="1140"/>
    <n v="660"/>
    <s v="Priya"/>
    <s v="Main Store"/>
    <s v="Indore"/>
    <s v="Credit"/>
    <n v="0.36666666666666697"/>
  </r>
  <r>
    <s v="INV10252"/>
    <d v="2026-01-30T00:00:00"/>
    <s v="January"/>
    <x v="2"/>
    <s v="P008"/>
    <s v="Cotton Trousers"/>
    <s v="Trousers"/>
    <n v="2"/>
    <n v="950"/>
    <n v="0"/>
    <n v="1900"/>
    <n v="1140"/>
    <n v="760"/>
    <s v="Priya"/>
    <s v="City Store"/>
    <s v="Indore"/>
    <s v="UPI"/>
    <n v="0.4"/>
  </r>
  <r>
    <s v="INV10253"/>
    <d v="2026-07-23T00:00:00"/>
    <s v="July"/>
    <x v="53"/>
    <s v="P007"/>
    <s v="Regular Jeans"/>
    <s v="Jeans"/>
    <n v="3"/>
    <n v="1100"/>
    <n v="50"/>
    <n v="3250"/>
    <n v="2040"/>
    <n v="1210"/>
    <s v="Priya"/>
    <s v="City Store"/>
    <s v="Jabalpur"/>
    <s v="UPI"/>
    <n v="0.37230769230769201"/>
  </r>
  <r>
    <s v="INV10254"/>
    <d v="2026-04-15T00:00:00"/>
    <s v="April"/>
    <x v="40"/>
    <s v="P001"/>
    <s v="Formal Shirt"/>
    <s v="Shirts"/>
    <n v="1"/>
    <n v="850"/>
    <n v="0"/>
    <n v="850"/>
    <n v="520"/>
    <n v="330"/>
    <s v="Rohit"/>
    <s v="Main Store"/>
    <s v="Jabalpur"/>
    <s v="Cash"/>
    <n v="0.38823529411764701"/>
  </r>
  <r>
    <s v="INV10255"/>
    <d v="2026-06-03T00:00:00"/>
    <s v="June"/>
    <x v="37"/>
    <s v="P011"/>
    <s v="Sweatshirt"/>
    <s v="Winter Wear"/>
    <n v="2"/>
    <n v="1150"/>
    <n v="0"/>
    <n v="2300"/>
    <n v="1400"/>
    <n v="900"/>
    <s v="Rohit"/>
    <s v="Main Store"/>
    <s v="Indore"/>
    <s v="Card"/>
    <n v="0.39130434782608697"/>
  </r>
  <r>
    <s v="INV10256"/>
    <d v="2026-08-22T00:00:00"/>
    <s v="August"/>
    <x v="25"/>
    <s v="P011"/>
    <s v="Sweatshirt"/>
    <s v="Winter Wear"/>
    <n v="2"/>
    <n v="1150"/>
    <n v="20"/>
    <n v="2280"/>
    <n v="1400"/>
    <n v="880"/>
    <s v="Amit"/>
    <s v="City Store"/>
    <s v="Indore"/>
    <s v="Card"/>
    <n v="0.38596491228070201"/>
  </r>
  <r>
    <s v="INV10257"/>
    <d v="2026-07-25T00:00:00"/>
    <s v="July"/>
    <x v="58"/>
    <s v="P003"/>
    <s v="Premium Shirt"/>
    <s v="Shirts"/>
    <n v="2"/>
    <n v="1250"/>
    <n v="20"/>
    <n v="2480"/>
    <n v="1520"/>
    <n v="960"/>
    <s v="Neha"/>
    <s v="City Store"/>
    <s v="Bhopal"/>
    <s v="UPI"/>
    <n v="0.38709677419354799"/>
  </r>
  <r>
    <s v="INV10258"/>
    <d v="2026-04-01T00:00:00"/>
    <s v="April"/>
    <x v="77"/>
    <s v="P009"/>
    <s v="Formal Trousers"/>
    <s v="Trousers"/>
    <n v="1"/>
    <n v="1200"/>
    <n v="0"/>
    <n v="1200"/>
    <n v="730"/>
    <n v="470"/>
    <s v="Neha"/>
    <s v="City Store"/>
    <s v="Indore"/>
    <s v="Credit"/>
    <n v="0.391666666666667"/>
  </r>
  <r>
    <s v="INV10259"/>
    <d v="2026-02-23T00:00:00"/>
    <s v="February"/>
    <x v="24"/>
    <s v="P010"/>
    <s v="Hoodie"/>
    <s v="Winter Wear"/>
    <n v="2"/>
    <n v="1450"/>
    <n v="0"/>
    <n v="2900"/>
    <n v="1800"/>
    <n v="1100"/>
    <s v="Priya"/>
    <s v="Main Store"/>
    <s v="Indore"/>
    <s v="UPI"/>
    <n v="0.37931034482758602"/>
  </r>
  <r>
    <s v="INV10260"/>
    <d v="2026-08-15T00:00:00"/>
    <s v="August"/>
    <x v="98"/>
    <s v="P006"/>
    <s v="Slim Jeans"/>
    <s v="Jeans"/>
    <n v="2"/>
    <n v="1350"/>
    <n v="0"/>
    <n v="2700"/>
    <n v="1700"/>
    <n v="1000"/>
    <s v="Amit"/>
    <s v="Main Store"/>
    <s v="Jabalpur"/>
    <s v="UPI"/>
    <n v="0.37037037037037002"/>
  </r>
  <r>
    <s v="INV10261"/>
    <d v="2026-03-09T00:00:00"/>
    <s v="March"/>
    <x v="104"/>
    <s v="P005"/>
    <s v="Polo T-Shirt"/>
    <s v="T-Shirts"/>
    <n v="1"/>
    <n v="750"/>
    <n v="0"/>
    <n v="750"/>
    <n v="430"/>
    <n v="320"/>
    <s v="Priya"/>
    <s v="City Store"/>
    <s v="Jabalpur"/>
    <s v="Card"/>
    <n v="0.42666666666666703"/>
  </r>
  <r>
    <s v="INV10262"/>
    <d v="2026-05-14T00:00:00"/>
    <s v="May"/>
    <x v="32"/>
    <s v="P004"/>
    <s v="Basic T-Shirt"/>
    <s v="T-Shirts"/>
    <n v="1"/>
    <n v="550"/>
    <n v="0"/>
    <n v="550"/>
    <n v="300"/>
    <n v="250"/>
    <s v="Sandeep"/>
    <s v="Main Store"/>
    <s v="Indore"/>
    <s v="Cash"/>
    <n v="0.45454545454545398"/>
  </r>
  <r>
    <s v="INV10263"/>
    <d v="2026-07-30T00:00:00"/>
    <s v="July"/>
    <x v="41"/>
    <s v="P007"/>
    <s v="Regular Jeans"/>
    <s v="Jeans"/>
    <n v="1"/>
    <n v="1100"/>
    <n v="0"/>
    <n v="1100"/>
    <n v="680"/>
    <n v="420"/>
    <s v="Rohit"/>
    <s v="Main Store"/>
    <s v="Indore"/>
    <s v="Cash"/>
    <n v="0.381818181818182"/>
  </r>
  <r>
    <s v="INV10264"/>
    <d v="2026-07-20T00:00:00"/>
    <s v="July"/>
    <x v="21"/>
    <s v="P002"/>
    <s v="Casual Shirt"/>
    <s v="Shirts"/>
    <n v="1"/>
    <n v="700"/>
    <n v="50"/>
    <n v="650"/>
    <n v="410"/>
    <n v="240"/>
    <s v="Neha"/>
    <s v="Main Store"/>
    <s v="Bhopal"/>
    <s v="UPI"/>
    <n v="0.36923076923076897"/>
  </r>
  <r>
    <s v="INV10265"/>
    <d v="2026-03-21T00:00:00"/>
    <s v="March"/>
    <x v="50"/>
    <s v="P012"/>
    <s v="Kurta"/>
    <s v="Ethnic Wear"/>
    <n v="1"/>
    <n v="900"/>
    <n v="0"/>
    <n v="900"/>
    <n v="540"/>
    <n v="360"/>
    <s v="Priya"/>
    <s v="Main Store"/>
    <s v="Bhopal"/>
    <s v="UPI"/>
    <n v="0.4"/>
  </r>
  <r>
    <s v="INV10266"/>
    <d v="2026-02-21T00:00:00"/>
    <s v="February"/>
    <x v="100"/>
    <s v="P005"/>
    <s v="Polo T-Shirt"/>
    <s v="T-Shirts"/>
    <n v="2"/>
    <n v="750"/>
    <n v="0"/>
    <n v="1500"/>
    <n v="860"/>
    <n v="640"/>
    <s v="Priya"/>
    <s v="City Store"/>
    <s v="Bhopal"/>
    <s v="Card"/>
    <n v="0.42666666666666703"/>
  </r>
  <r>
    <s v="INV10267"/>
    <d v="2026-08-15T00:00:00"/>
    <s v="August"/>
    <x v="74"/>
    <s v="P005"/>
    <s v="Polo T-Shirt"/>
    <s v="T-Shirts"/>
    <n v="3"/>
    <n v="750"/>
    <n v="20"/>
    <n v="2230"/>
    <n v="1290"/>
    <n v="940"/>
    <s v="Neha"/>
    <s v="City Store"/>
    <s v="Indore"/>
    <s v="Card"/>
    <n v="0.42152466367712998"/>
  </r>
  <r>
    <s v="INV10268"/>
    <d v="2026-07-02T00:00:00"/>
    <s v="July"/>
    <x v="77"/>
    <s v="P005"/>
    <s v="Polo T-Shirt"/>
    <s v="T-Shirts"/>
    <n v="1"/>
    <n v="750"/>
    <n v="100"/>
    <n v="650"/>
    <n v="430"/>
    <n v="220"/>
    <s v="Neha"/>
    <s v="Main Store"/>
    <s v="Indore"/>
    <s v="Card"/>
    <n v="0.33846153846153798"/>
  </r>
  <r>
    <s v="INV10269"/>
    <d v="2026-06-16T00:00:00"/>
    <s v="June"/>
    <x v="11"/>
    <s v="P005"/>
    <s v="Polo T-Shirt"/>
    <s v="T-Shirts"/>
    <n v="2"/>
    <n v="750"/>
    <n v="0"/>
    <n v="1500"/>
    <n v="860"/>
    <n v="640"/>
    <s v="Amit"/>
    <s v="Main Store"/>
    <s v="Jabalpur"/>
    <s v="Card"/>
    <n v="0.42666666666666703"/>
  </r>
  <r>
    <s v="INV10270"/>
    <d v="2026-06-22T00:00:00"/>
    <s v="June"/>
    <x v="32"/>
    <s v="P013"/>
    <s v="Kurta Set"/>
    <s v="Ethnic Wear"/>
    <n v="4"/>
    <n v="1500"/>
    <n v="75"/>
    <n v="5925"/>
    <n v="3680"/>
    <n v="2245"/>
    <s v="Priya"/>
    <s v="Main Store"/>
    <s v="Bhopal"/>
    <s v="UPI"/>
    <n v="0.378902953586498"/>
  </r>
  <r>
    <s v="INV10271"/>
    <d v="2026-07-02T00:00:00"/>
    <s v="July"/>
    <x v="45"/>
    <s v="P011"/>
    <s v="Sweatshirt"/>
    <s v="Winter Wear"/>
    <n v="1"/>
    <n v="1150"/>
    <n v="75"/>
    <n v="1075"/>
    <n v="700"/>
    <n v="375"/>
    <s v="Rohit"/>
    <s v="City Store"/>
    <s v="Indore"/>
    <s v="UPI"/>
    <n v="0.34883720930232598"/>
  </r>
  <r>
    <s v="INV10272"/>
    <d v="2026-08-09T00:00:00"/>
    <s v="August"/>
    <x v="95"/>
    <s v="P012"/>
    <s v="Kurta"/>
    <s v="Ethnic Wear"/>
    <n v="2"/>
    <n v="900"/>
    <n v="75"/>
    <n v="1725"/>
    <n v="1080"/>
    <n v="645"/>
    <s v="Sandeep"/>
    <s v="City Store"/>
    <s v="Indore"/>
    <s v="Card"/>
    <n v="0.37391304347826099"/>
  </r>
  <r>
    <s v="INV10273"/>
    <d v="2026-04-30T00:00:00"/>
    <s v="April"/>
    <x v="79"/>
    <s v="P013"/>
    <s v="Kurta Set"/>
    <s v="Ethnic Wear"/>
    <n v="1"/>
    <n v="1500"/>
    <n v="0"/>
    <n v="1500"/>
    <n v="920"/>
    <n v="580"/>
    <s v="Amit"/>
    <s v="Main Store"/>
    <s v="Indore"/>
    <s v="UPI"/>
    <n v="0.38666666666666699"/>
  </r>
  <r>
    <s v="INV10274"/>
    <d v="2026-07-07T00:00:00"/>
    <s v="July"/>
    <x v="33"/>
    <s v="P013"/>
    <s v="Kurta Set"/>
    <s v="Ethnic Wear"/>
    <n v="1"/>
    <n v="1500"/>
    <n v="100"/>
    <n v="1400"/>
    <n v="920"/>
    <n v="480"/>
    <s v="Sandeep"/>
    <s v="City Store"/>
    <s v="Bhopal"/>
    <s v="Cash"/>
    <n v="0.34285714285714303"/>
  </r>
  <r>
    <s v="INV10275"/>
    <d v="2026-03-20T00:00:00"/>
    <s v="March"/>
    <x v="34"/>
    <s v="P008"/>
    <s v="Cotton Trousers"/>
    <s v="Trousers"/>
    <n v="3"/>
    <n v="950"/>
    <n v="50"/>
    <n v="2800"/>
    <n v="1710"/>
    <n v="1090"/>
    <s v="Priya"/>
    <s v="Main Store"/>
    <s v="Jabalpur"/>
    <s v="UPI"/>
    <n v="0.38928571428571401"/>
  </r>
  <r>
    <s v="INV10276"/>
    <d v="2026-03-18T00:00:00"/>
    <s v="March"/>
    <x v="19"/>
    <s v="P012"/>
    <s v="Kurta"/>
    <s v="Ethnic Wear"/>
    <n v="1"/>
    <n v="900"/>
    <n v="50"/>
    <n v="850"/>
    <n v="540"/>
    <n v="310"/>
    <s v="Amit"/>
    <s v="Main Store"/>
    <s v="Bhopal"/>
    <s v="Cash"/>
    <n v="0.36470588235294099"/>
  </r>
  <r>
    <s v="INV10277"/>
    <d v="2026-05-13T00:00:00"/>
    <s v="May"/>
    <x v="26"/>
    <s v="P003"/>
    <s v="Premium Shirt"/>
    <s v="Shirts"/>
    <n v="1"/>
    <n v="1250"/>
    <n v="0"/>
    <n v="1250"/>
    <n v="760"/>
    <n v="490"/>
    <s v="Sandeep"/>
    <s v="City Store"/>
    <s v="Indore"/>
    <s v="Cash"/>
    <n v="0.39200000000000002"/>
  </r>
  <r>
    <s v="INV10278"/>
    <d v="2026-05-15T00:00:00"/>
    <s v="May"/>
    <x v="64"/>
    <s v="P004"/>
    <s v="Basic T-Shirt"/>
    <s v="T-Shirts"/>
    <n v="1"/>
    <n v="550"/>
    <n v="50"/>
    <n v="500"/>
    <n v="300"/>
    <n v="200"/>
    <s v="Priya"/>
    <s v="Main Store"/>
    <s v="Bhopal"/>
    <s v="UPI"/>
    <n v="0.4"/>
  </r>
  <r>
    <s v="INV10279"/>
    <d v="2026-03-05T00:00:00"/>
    <s v="March"/>
    <x v="46"/>
    <s v="P005"/>
    <s v="Polo T-Shirt"/>
    <s v="T-Shirts"/>
    <n v="2"/>
    <n v="750"/>
    <n v="50"/>
    <n v="1450"/>
    <n v="860"/>
    <n v="590"/>
    <s v="Priya"/>
    <s v="Main Store"/>
    <s v="Bhopal"/>
    <s v="Card"/>
    <n v="0.40689655172413802"/>
  </r>
  <r>
    <s v="INV10280"/>
    <d v="2026-06-27T00:00:00"/>
    <s v="June"/>
    <x v="90"/>
    <s v="P008"/>
    <s v="Cotton Trousers"/>
    <s v="Trousers"/>
    <n v="2"/>
    <n v="950"/>
    <n v="20"/>
    <n v="1880"/>
    <n v="1140"/>
    <n v="740"/>
    <s v="Amit"/>
    <s v="City Store"/>
    <s v="Indore"/>
    <s v="UPI"/>
    <n v="0.39361702127659598"/>
  </r>
  <r>
    <s v="INV10281"/>
    <d v="2026-07-09T00:00:00"/>
    <s v="July"/>
    <x v="5"/>
    <s v="P009"/>
    <s v="Formal Trousers"/>
    <s v="Trousers"/>
    <n v="2"/>
    <n v="1200"/>
    <n v="20"/>
    <n v="2380"/>
    <n v="1460"/>
    <n v="920"/>
    <s v="Rohit"/>
    <s v="Main Store"/>
    <s v="Bhopal"/>
    <s v="Credit"/>
    <n v="0.38655462184874001"/>
  </r>
  <r>
    <s v="INV10282"/>
    <d v="2026-05-24T00:00:00"/>
    <s v="May"/>
    <x v="32"/>
    <s v="P006"/>
    <s v="Slim Jeans"/>
    <s v="Jeans"/>
    <n v="1"/>
    <n v="1350"/>
    <n v="100"/>
    <n v="1250"/>
    <n v="850"/>
    <n v="400"/>
    <s v="Priya"/>
    <s v="City Store"/>
    <s v="Bhopal"/>
    <s v="UPI"/>
    <n v="0.32"/>
  </r>
  <r>
    <s v="INV10283"/>
    <d v="2026-06-02T00:00:00"/>
    <s v="June"/>
    <x v="33"/>
    <s v="P001"/>
    <s v="Formal Shirt"/>
    <s v="Shirts"/>
    <n v="3"/>
    <n v="850"/>
    <n v="0"/>
    <n v="2550"/>
    <n v="1560"/>
    <n v="990"/>
    <s v="Neha"/>
    <s v="City Store"/>
    <s v="Indore"/>
    <s v="Cash"/>
    <n v="0.38823529411764701"/>
  </r>
  <r>
    <s v="INV10284"/>
    <d v="2026-06-21T00:00:00"/>
    <s v="June"/>
    <x v="32"/>
    <s v="P006"/>
    <s v="Slim Jeans"/>
    <s v="Jeans"/>
    <n v="1"/>
    <n v="1350"/>
    <n v="100"/>
    <n v="1250"/>
    <n v="850"/>
    <n v="400"/>
    <s v="Neha"/>
    <s v="City Store"/>
    <s v="Jabalpur"/>
    <s v="Cash"/>
    <n v="0.32"/>
  </r>
  <r>
    <s v="INV10285"/>
    <d v="2026-02-08T00:00:00"/>
    <s v="February"/>
    <x v="48"/>
    <s v="P003"/>
    <s v="Premium Shirt"/>
    <s v="Shirts"/>
    <n v="2"/>
    <n v="1250"/>
    <n v="0"/>
    <n v="2500"/>
    <n v="1520"/>
    <n v="980"/>
    <s v="Priya"/>
    <s v="Main Store"/>
    <s v="Bhopal"/>
    <s v="UPI"/>
    <n v="0.39200000000000002"/>
  </r>
  <r>
    <s v="INV10286"/>
    <d v="2026-02-15T00:00:00"/>
    <s v="February"/>
    <x v="33"/>
    <s v="P013"/>
    <s v="Kurta Set"/>
    <s v="Ethnic Wear"/>
    <n v="1"/>
    <n v="1500"/>
    <n v="100"/>
    <n v="1400"/>
    <n v="920"/>
    <n v="480"/>
    <s v="Priya"/>
    <s v="City Store"/>
    <s v="Bhopal"/>
    <s v="UPI"/>
    <n v="0.34285714285714303"/>
  </r>
  <r>
    <s v="INV10287"/>
    <d v="2026-01-29T00:00:00"/>
    <s v="January"/>
    <x v="102"/>
    <s v="P006"/>
    <s v="Slim Jeans"/>
    <s v="Jeans"/>
    <n v="4"/>
    <n v="1350"/>
    <n v="100"/>
    <n v="5300"/>
    <n v="3400"/>
    <n v="1900"/>
    <s v="Rohit"/>
    <s v="City Store"/>
    <s v="Jabalpur"/>
    <s v="Cash"/>
    <n v="0.35849056603773599"/>
  </r>
  <r>
    <s v="INV10288"/>
    <d v="2026-08-31T00:00:00"/>
    <s v="August"/>
    <x v="47"/>
    <s v="P004"/>
    <s v="Basic T-Shirt"/>
    <s v="T-Shirts"/>
    <n v="2"/>
    <n v="550"/>
    <n v="0"/>
    <n v="1100"/>
    <n v="600"/>
    <n v="500"/>
    <s v="Priya"/>
    <s v="Main Store"/>
    <s v="Indore"/>
    <s v="Cash"/>
    <n v="0.45454545454545398"/>
  </r>
  <r>
    <s v="INV10289"/>
    <d v="2026-04-28T00:00:00"/>
    <s v="April"/>
    <x v="54"/>
    <s v="P013"/>
    <s v="Kurta Set"/>
    <s v="Ethnic Wear"/>
    <n v="2"/>
    <n v="1500"/>
    <n v="50"/>
    <n v="2950"/>
    <n v="1840"/>
    <n v="1110"/>
    <s v="Sandeep"/>
    <s v="City Store"/>
    <s v="Bhopal"/>
    <s v="Cash"/>
    <n v="0.37627118644067797"/>
  </r>
  <r>
    <s v="INV10290"/>
    <d v="2026-04-16T00:00:00"/>
    <s v="April"/>
    <x v="85"/>
    <s v="P009"/>
    <s v="Formal Trousers"/>
    <s v="Trousers"/>
    <n v="2"/>
    <n v="1200"/>
    <n v="0"/>
    <n v="2400"/>
    <n v="1460"/>
    <n v="940"/>
    <s v="Amit"/>
    <s v="City Store"/>
    <s v="Jabalpur"/>
    <s v="Card"/>
    <n v="0.391666666666667"/>
  </r>
  <r>
    <s v="INV10291"/>
    <d v="2026-04-16T00:00:00"/>
    <s v="April"/>
    <x v="23"/>
    <s v="P004"/>
    <s v="Basic T-Shirt"/>
    <s v="T-Shirts"/>
    <n v="1"/>
    <n v="550"/>
    <n v="20"/>
    <n v="530"/>
    <n v="300"/>
    <n v="230"/>
    <s v="Neha"/>
    <s v="Main Store"/>
    <s v="Indore"/>
    <s v="Card"/>
    <n v="0.43396226415094302"/>
  </r>
  <r>
    <s v="INV10292"/>
    <d v="2026-06-18T00:00:00"/>
    <s v="June"/>
    <x v="27"/>
    <s v="P014"/>
    <s v="Kids Shirt"/>
    <s v="Kids Wear"/>
    <n v="2"/>
    <n v="600"/>
    <n v="0"/>
    <n v="1200"/>
    <n v="700"/>
    <n v="500"/>
    <s v="Sandeep"/>
    <s v="Main Store"/>
    <s v="Indore"/>
    <s v="Card"/>
    <n v="0.41666666666666702"/>
  </r>
  <r>
    <s v="INV10293"/>
    <d v="2026-01-14T00:00:00"/>
    <s v="January"/>
    <x v="41"/>
    <s v="P010"/>
    <s v="Hoodie"/>
    <s v="Winter Wear"/>
    <n v="1"/>
    <n v="1450"/>
    <n v="50"/>
    <n v="1400"/>
    <n v="900"/>
    <n v="500"/>
    <s v="Sandeep"/>
    <s v="Main Store"/>
    <s v="Bhopal"/>
    <s v="Card"/>
    <n v="0.35714285714285698"/>
  </r>
  <r>
    <s v="INV10294"/>
    <d v="2026-04-11T00:00:00"/>
    <s v="April"/>
    <x v="85"/>
    <s v="P015"/>
    <s v="Kids Jeans"/>
    <s v="Kids Wear"/>
    <n v="1"/>
    <n v="800"/>
    <n v="75"/>
    <n v="725"/>
    <n v="470"/>
    <n v="255"/>
    <s v="Priya"/>
    <s v="Main Store"/>
    <s v="Jabalpur"/>
    <s v="Cash"/>
    <n v="0.35172413793103402"/>
  </r>
  <r>
    <s v="INV10295"/>
    <d v="2026-02-06T00:00:00"/>
    <s v="February"/>
    <x v="52"/>
    <s v="P010"/>
    <s v="Hoodie"/>
    <s v="Winter Wear"/>
    <n v="3"/>
    <n v="1450"/>
    <n v="20"/>
    <n v="4330"/>
    <n v="2700"/>
    <n v="1630"/>
    <s v="Sandeep"/>
    <s v="City Store"/>
    <s v="Bhopal"/>
    <s v="UPI"/>
    <n v="0.376443418013857"/>
  </r>
  <r>
    <s v="INV10296"/>
    <d v="2026-06-22T00:00:00"/>
    <s v="June"/>
    <x v="26"/>
    <s v="P006"/>
    <s v="Slim Jeans"/>
    <s v="Jeans"/>
    <n v="1"/>
    <n v="1350"/>
    <n v="0"/>
    <n v="1350"/>
    <n v="850"/>
    <n v="500"/>
    <s v="Amit"/>
    <s v="Main Store"/>
    <s v="Bhopal"/>
    <s v="Cash"/>
    <n v="0.37037037037037002"/>
  </r>
  <r>
    <s v="INV10297"/>
    <d v="2026-07-05T00:00:00"/>
    <s v="July"/>
    <x v="105"/>
    <s v="P014"/>
    <s v="Kids Shirt"/>
    <s v="Kids Wear"/>
    <n v="2"/>
    <n v="600"/>
    <n v="0"/>
    <n v="1200"/>
    <n v="700"/>
    <n v="500"/>
    <s v="Priya"/>
    <s v="City Store"/>
    <s v="Indore"/>
    <s v="Cash"/>
    <n v="0.41666666666666702"/>
  </r>
  <r>
    <s v="INV10298"/>
    <d v="2026-03-01T00:00:00"/>
    <s v="March"/>
    <x v="54"/>
    <s v="P014"/>
    <s v="Kids Shirt"/>
    <s v="Kids Wear"/>
    <n v="2"/>
    <n v="600"/>
    <n v="0"/>
    <n v="1200"/>
    <n v="700"/>
    <n v="500"/>
    <s v="Amit"/>
    <s v="Main Store"/>
    <s v="Indore"/>
    <s v="UPI"/>
    <n v="0.41666666666666702"/>
  </r>
  <r>
    <s v="INV10299"/>
    <d v="2026-08-18T00:00:00"/>
    <s v="August"/>
    <x v="45"/>
    <s v="P008"/>
    <s v="Cotton Trousers"/>
    <s v="Trousers"/>
    <n v="1"/>
    <n v="950"/>
    <n v="50"/>
    <n v="900"/>
    <n v="570"/>
    <n v="330"/>
    <s v="Priya"/>
    <s v="City Store"/>
    <s v="Bhopal"/>
    <s v="UPI"/>
    <n v="0.36666666666666697"/>
  </r>
  <r>
    <s v="INV10300"/>
    <d v="2026-08-13T00:00:00"/>
    <s v="August"/>
    <x v="106"/>
    <s v="P004"/>
    <s v="Basic T-Shirt"/>
    <s v="T-Shirts"/>
    <n v="1"/>
    <n v="550"/>
    <n v="50"/>
    <n v="500"/>
    <n v="300"/>
    <n v="200"/>
    <s v="Priya"/>
    <s v="Main Store"/>
    <s v="Bhopal"/>
    <s v="Card"/>
    <n v="0.4"/>
  </r>
  <r>
    <s v="INV10301"/>
    <d v="2026-02-14T00:00:00"/>
    <s v="February"/>
    <x v="24"/>
    <s v="P015"/>
    <s v="Kids Jeans"/>
    <s v="Kids Wear"/>
    <n v="4"/>
    <n v="800"/>
    <n v="100"/>
    <n v="3100"/>
    <n v="1880"/>
    <n v="1220"/>
    <s v="Amit"/>
    <s v="City Store"/>
    <s v="Bhopal"/>
    <s v="UPI"/>
    <n v="0.39354838709677398"/>
  </r>
  <r>
    <s v="INV10302"/>
    <d v="2026-04-13T00:00:00"/>
    <s v="April"/>
    <x v="79"/>
    <s v="P006"/>
    <s v="Slim Jeans"/>
    <s v="Jeans"/>
    <n v="4"/>
    <n v="1350"/>
    <n v="50"/>
    <n v="5350"/>
    <n v="3400"/>
    <n v="1950"/>
    <s v="Rohit"/>
    <s v="City Store"/>
    <s v="Jabalpur"/>
    <s v="UPI"/>
    <n v="0.36448598130841098"/>
  </r>
  <r>
    <s v="INV10303"/>
    <d v="2026-04-17T00:00:00"/>
    <s v="April"/>
    <x v="48"/>
    <s v="P013"/>
    <s v="Kurta Set"/>
    <s v="Ethnic Wear"/>
    <n v="4"/>
    <n v="1500"/>
    <n v="0"/>
    <n v="6000"/>
    <n v="3680"/>
    <n v="2320"/>
    <s v="Sandeep"/>
    <s v="City Store"/>
    <s v="Jabalpur"/>
    <s v="Card"/>
    <n v="0.38666666666666699"/>
  </r>
  <r>
    <s v="INV10304"/>
    <d v="2026-02-15T00:00:00"/>
    <s v="February"/>
    <x v="61"/>
    <s v="P003"/>
    <s v="Premium Shirt"/>
    <s v="Shirts"/>
    <n v="3"/>
    <n v="1250"/>
    <n v="0"/>
    <n v="3750"/>
    <n v="2280"/>
    <n v="1470"/>
    <s v="Neha"/>
    <s v="Main Store"/>
    <s v="Jabalpur"/>
    <s v="Cash"/>
    <n v="0.39200000000000002"/>
  </r>
  <r>
    <s v="INV10305"/>
    <d v="2026-01-05T00:00:00"/>
    <s v="January"/>
    <x v="76"/>
    <s v="P004"/>
    <s v="Basic T-Shirt"/>
    <s v="T-Shirts"/>
    <n v="2"/>
    <n v="550"/>
    <n v="20"/>
    <n v="1080"/>
    <n v="600"/>
    <n v="480"/>
    <s v="Rohit"/>
    <s v="City Store"/>
    <s v="Indore"/>
    <s v="Card"/>
    <n v="0.44444444444444398"/>
  </r>
  <r>
    <s v="INV10306"/>
    <d v="2026-04-10T00:00:00"/>
    <s v="April"/>
    <x v="22"/>
    <s v="P002"/>
    <s v="Casual Shirt"/>
    <s v="Shirts"/>
    <n v="3"/>
    <n v="700"/>
    <n v="50"/>
    <n v="2050"/>
    <n v="1230"/>
    <n v="820"/>
    <s v="Amit"/>
    <s v="City Store"/>
    <s v="Indore"/>
    <s v="Cash"/>
    <n v="0.4"/>
  </r>
  <r>
    <s v="INV10307"/>
    <d v="2026-08-05T00:00:00"/>
    <s v="August"/>
    <x v="100"/>
    <s v="P012"/>
    <s v="Kurta"/>
    <s v="Ethnic Wear"/>
    <n v="1"/>
    <n v="900"/>
    <n v="100"/>
    <n v="800"/>
    <n v="540"/>
    <n v="260"/>
    <s v="Sandeep"/>
    <s v="City Store"/>
    <s v="Indore"/>
    <s v="UPI"/>
    <n v="0.32500000000000001"/>
  </r>
  <r>
    <s v="INV10308"/>
    <d v="2026-01-14T00:00:00"/>
    <s v="January"/>
    <x v="71"/>
    <s v="P012"/>
    <s v="Kurta"/>
    <s v="Ethnic Wear"/>
    <n v="1"/>
    <n v="900"/>
    <n v="0"/>
    <n v="900"/>
    <n v="540"/>
    <n v="360"/>
    <s v="Rohit"/>
    <s v="City Store"/>
    <s v="Indore"/>
    <s v="UPI"/>
    <n v="0.4"/>
  </r>
  <r>
    <s v="INV10309"/>
    <d v="2026-02-14T00:00:00"/>
    <s v="February"/>
    <x v="76"/>
    <s v="P009"/>
    <s v="Formal Trousers"/>
    <s v="Trousers"/>
    <n v="2"/>
    <n v="1200"/>
    <n v="0"/>
    <n v="2400"/>
    <n v="1460"/>
    <n v="940"/>
    <s v="Neha"/>
    <s v="City Store"/>
    <s v="Indore"/>
    <s v="Card"/>
    <n v="0.391666666666667"/>
  </r>
  <r>
    <s v="INV10310"/>
    <d v="2026-08-07T00:00:00"/>
    <s v="August"/>
    <x v="74"/>
    <s v="P009"/>
    <s v="Formal Trousers"/>
    <s v="Trousers"/>
    <n v="1"/>
    <n v="1200"/>
    <n v="0"/>
    <n v="1200"/>
    <n v="730"/>
    <n v="470"/>
    <s v="Rohit"/>
    <s v="City Store"/>
    <s v="Bhopal"/>
    <s v="Credit"/>
    <n v="0.391666666666667"/>
  </r>
  <r>
    <s v="INV10311"/>
    <d v="2026-06-03T00:00:00"/>
    <s v="June"/>
    <x v="17"/>
    <s v="P015"/>
    <s v="Kids Jeans"/>
    <s v="Kids Wear"/>
    <n v="3"/>
    <n v="800"/>
    <n v="20"/>
    <n v="2380"/>
    <n v="1410"/>
    <n v="970"/>
    <s v="Amit"/>
    <s v="Main Store"/>
    <s v="Indore"/>
    <s v="Credit"/>
    <n v="0.40756302521008397"/>
  </r>
  <r>
    <s v="INV10312"/>
    <d v="2026-08-04T00:00:00"/>
    <s v="August"/>
    <x v="55"/>
    <s v="P005"/>
    <s v="Polo T-Shirt"/>
    <s v="T-Shirts"/>
    <n v="2"/>
    <n v="750"/>
    <n v="0"/>
    <n v="1500"/>
    <n v="860"/>
    <n v="640"/>
    <s v="Neha"/>
    <s v="Main Store"/>
    <s v="Jabalpur"/>
    <s v="Card"/>
    <n v="0.42666666666666703"/>
  </r>
  <r>
    <s v="INV10313"/>
    <d v="2026-06-27T00:00:00"/>
    <s v="June"/>
    <x v="45"/>
    <s v="P012"/>
    <s v="Kurta"/>
    <s v="Ethnic Wear"/>
    <n v="1"/>
    <n v="900"/>
    <n v="0"/>
    <n v="900"/>
    <n v="540"/>
    <n v="360"/>
    <s v="Priya"/>
    <s v="Main Store"/>
    <s v="Indore"/>
    <s v="UPI"/>
    <n v="0.4"/>
  </r>
  <r>
    <s v="INV10314"/>
    <d v="2026-03-02T00:00:00"/>
    <s v="March"/>
    <x v="0"/>
    <s v="P006"/>
    <s v="Slim Jeans"/>
    <s v="Jeans"/>
    <n v="2"/>
    <n v="1350"/>
    <n v="20"/>
    <n v="2680"/>
    <n v="1700"/>
    <n v="980"/>
    <s v="Rohit"/>
    <s v="City Store"/>
    <s v="Indore"/>
    <s v="Cash"/>
    <n v="0.365671641791045"/>
  </r>
  <r>
    <s v="INV10315"/>
    <d v="2026-07-17T00:00:00"/>
    <s v="July"/>
    <x v="89"/>
    <s v="P007"/>
    <s v="Regular Jeans"/>
    <s v="Jeans"/>
    <n v="2"/>
    <n v="1100"/>
    <n v="20"/>
    <n v="2180"/>
    <n v="1360"/>
    <n v="820"/>
    <s v="Rohit"/>
    <s v="Main Store"/>
    <s v="Indore"/>
    <s v="UPI"/>
    <n v="0.37614678899082599"/>
  </r>
  <r>
    <s v="INV10316"/>
    <d v="2026-03-15T00:00:00"/>
    <s v="March"/>
    <x v="23"/>
    <s v="P002"/>
    <s v="Casual Shirt"/>
    <s v="Shirts"/>
    <n v="2"/>
    <n v="700"/>
    <n v="0"/>
    <n v="1400"/>
    <n v="820"/>
    <n v="580"/>
    <s v="Neha"/>
    <s v="Main Store"/>
    <s v="Bhopal"/>
    <s v="Cash"/>
    <n v="0.41428571428571398"/>
  </r>
  <r>
    <s v="INV10317"/>
    <d v="2026-02-28T00:00:00"/>
    <s v="February"/>
    <x v="46"/>
    <s v="P008"/>
    <s v="Cotton Trousers"/>
    <s v="Trousers"/>
    <n v="2"/>
    <n v="950"/>
    <n v="0"/>
    <n v="1900"/>
    <n v="1140"/>
    <n v="760"/>
    <s v="Neha"/>
    <s v="City Store"/>
    <s v="Bhopal"/>
    <s v="Card"/>
    <n v="0.4"/>
  </r>
  <r>
    <s v="INV10318"/>
    <d v="2026-03-09T00:00:00"/>
    <s v="March"/>
    <x v="89"/>
    <s v="P007"/>
    <s v="Regular Jeans"/>
    <s v="Jeans"/>
    <n v="3"/>
    <n v="1100"/>
    <n v="20"/>
    <n v="3280"/>
    <n v="2040"/>
    <n v="1240"/>
    <s v="Priya"/>
    <s v="City Store"/>
    <s v="Bhopal"/>
    <s v="UPI"/>
    <n v="0.37804878048780499"/>
  </r>
  <r>
    <s v="INV10319"/>
    <d v="2026-01-14T00:00:00"/>
    <s v="January"/>
    <x v="57"/>
    <s v="P005"/>
    <s v="Polo T-Shirt"/>
    <s v="T-Shirts"/>
    <n v="2"/>
    <n v="750"/>
    <n v="0"/>
    <n v="1500"/>
    <n v="860"/>
    <n v="640"/>
    <s v="Sandeep"/>
    <s v="Main Store"/>
    <s v="Indore"/>
    <s v="Card"/>
    <n v="0.42666666666666703"/>
  </r>
  <r>
    <s v="INV10320"/>
    <d v="2026-05-11T00:00:00"/>
    <s v="May"/>
    <x v="19"/>
    <s v="P001"/>
    <s v="Formal Shirt"/>
    <s v="Shirts"/>
    <n v="1"/>
    <n v="850"/>
    <n v="0"/>
    <n v="850"/>
    <n v="520"/>
    <n v="330"/>
    <s v="Priya"/>
    <s v="Main Store"/>
    <s v="Indore"/>
    <s v="Cash"/>
    <n v="0.38823529411764701"/>
  </r>
  <r>
    <s v="INV10321"/>
    <d v="2026-05-03T00:00:00"/>
    <s v="May"/>
    <x v="35"/>
    <s v="P006"/>
    <s v="Slim Jeans"/>
    <s v="Jeans"/>
    <n v="1"/>
    <n v="1350"/>
    <n v="20"/>
    <n v="1330"/>
    <n v="850"/>
    <n v="480"/>
    <s v="Neha"/>
    <s v="Main Store"/>
    <s v="Jabalpur"/>
    <s v="Credit"/>
    <n v="0.360902255639098"/>
  </r>
  <r>
    <s v="INV10322"/>
    <d v="2026-08-08T00:00:00"/>
    <s v="August"/>
    <x v="98"/>
    <s v="P008"/>
    <s v="Cotton Trousers"/>
    <s v="Trousers"/>
    <n v="1"/>
    <n v="950"/>
    <n v="0"/>
    <n v="950"/>
    <n v="570"/>
    <n v="380"/>
    <s v="Priya"/>
    <s v="Main Store"/>
    <s v="Jabalpur"/>
    <s v="UPI"/>
    <n v="0.4"/>
  </r>
  <r>
    <s v="INV10323"/>
    <d v="2026-04-14T00:00:00"/>
    <s v="April"/>
    <x v="107"/>
    <s v="P009"/>
    <s v="Formal Trousers"/>
    <s v="Trousers"/>
    <n v="1"/>
    <n v="1200"/>
    <n v="75"/>
    <n v="1125"/>
    <n v="730"/>
    <n v="395"/>
    <s v="Rohit"/>
    <s v="City Store"/>
    <s v="Indore"/>
    <s v="Card"/>
    <n v="0.35111111111111099"/>
  </r>
  <r>
    <s v="INV10324"/>
    <d v="2026-01-27T00:00:00"/>
    <s v="January"/>
    <x v="5"/>
    <s v="P007"/>
    <s v="Regular Jeans"/>
    <s v="Jeans"/>
    <n v="2"/>
    <n v="1100"/>
    <n v="20"/>
    <n v="2180"/>
    <n v="1360"/>
    <n v="820"/>
    <s v="Neha"/>
    <s v="City Store"/>
    <s v="Indore"/>
    <s v="UPI"/>
    <n v="0.37614678899082599"/>
  </r>
  <r>
    <s v="INV10325"/>
    <d v="2026-06-09T00:00:00"/>
    <s v="June"/>
    <x v="12"/>
    <s v="P001"/>
    <s v="Formal Shirt"/>
    <s v="Shirts"/>
    <n v="1"/>
    <n v="850"/>
    <n v="20"/>
    <n v="830"/>
    <n v="520"/>
    <n v="310"/>
    <s v="Neha"/>
    <s v="Main Store"/>
    <s v="Indore"/>
    <s v="Cash"/>
    <n v="0.373493975903614"/>
  </r>
  <r>
    <s v="INV10326"/>
    <d v="2026-05-19T00:00:00"/>
    <s v="May"/>
    <x v="108"/>
    <s v="P006"/>
    <s v="Slim Jeans"/>
    <s v="Jeans"/>
    <n v="3"/>
    <n v="1350"/>
    <n v="0"/>
    <n v="4050"/>
    <n v="2550"/>
    <n v="1500"/>
    <s v="Amit"/>
    <s v="Main Store"/>
    <s v="Jabalpur"/>
    <s v="Credit"/>
    <n v="0.37037037037037002"/>
  </r>
  <r>
    <s v="INV10327"/>
    <d v="2026-06-05T00:00:00"/>
    <s v="June"/>
    <x v="52"/>
    <s v="P005"/>
    <s v="Polo T-Shirt"/>
    <s v="T-Shirts"/>
    <n v="2"/>
    <n v="750"/>
    <n v="0"/>
    <n v="1500"/>
    <n v="860"/>
    <n v="640"/>
    <s v="Rohit"/>
    <s v="Main Store"/>
    <s v="Bhopal"/>
    <s v="UPI"/>
    <n v="0.42666666666666703"/>
  </r>
  <r>
    <s v="INV10328"/>
    <d v="2026-07-15T00:00:00"/>
    <s v="July"/>
    <x v="109"/>
    <s v="P011"/>
    <s v="Sweatshirt"/>
    <s v="Winter Wear"/>
    <n v="2"/>
    <n v="1150"/>
    <n v="0"/>
    <n v="2300"/>
    <n v="1400"/>
    <n v="900"/>
    <s v="Priya"/>
    <s v="City Store"/>
    <s v="Indore"/>
    <s v="UPI"/>
    <n v="0.39130434782608697"/>
  </r>
  <r>
    <s v="INV10329"/>
    <d v="2026-01-09T00:00:00"/>
    <s v="January"/>
    <x v="110"/>
    <s v="P005"/>
    <s v="Polo T-Shirt"/>
    <s v="T-Shirts"/>
    <n v="4"/>
    <n v="750"/>
    <n v="0"/>
    <n v="3000"/>
    <n v="1720"/>
    <n v="1280"/>
    <s v="Rohit"/>
    <s v="City Store"/>
    <s v="Bhopal"/>
    <s v="Card"/>
    <n v="0.42666666666666703"/>
  </r>
  <r>
    <s v="INV10330"/>
    <d v="2026-04-18T00:00:00"/>
    <s v="April"/>
    <x v="111"/>
    <s v="P009"/>
    <s v="Formal Trousers"/>
    <s v="Trousers"/>
    <n v="1"/>
    <n v="1200"/>
    <n v="75"/>
    <n v="1125"/>
    <n v="730"/>
    <n v="395"/>
    <s v="Sandeep"/>
    <s v="City Store"/>
    <s v="Indore"/>
    <s v="Card"/>
    <n v="0.35111111111111099"/>
  </r>
  <r>
    <s v="INV10331"/>
    <d v="2026-01-21T00:00:00"/>
    <s v="January"/>
    <x v="94"/>
    <s v="P012"/>
    <s v="Kurta"/>
    <s v="Ethnic Wear"/>
    <n v="1"/>
    <n v="900"/>
    <n v="0"/>
    <n v="900"/>
    <n v="540"/>
    <n v="360"/>
    <s v="Rohit"/>
    <s v="City Store"/>
    <s v="Jabalpur"/>
    <s v="UPI"/>
    <n v="0.4"/>
  </r>
  <r>
    <s v="INV10332"/>
    <d v="2026-03-23T00:00:00"/>
    <s v="March"/>
    <x v="85"/>
    <s v="P004"/>
    <s v="Basic T-Shirt"/>
    <s v="T-Shirts"/>
    <n v="3"/>
    <n v="550"/>
    <n v="50"/>
    <n v="1600"/>
    <n v="900"/>
    <n v="700"/>
    <s v="Neha"/>
    <s v="Main Store"/>
    <s v="Bhopal"/>
    <s v="Cash"/>
    <n v="0.4375"/>
  </r>
  <r>
    <s v="INV10333"/>
    <d v="2026-04-04T00:00:00"/>
    <s v="April"/>
    <x v="80"/>
    <s v="P006"/>
    <s v="Slim Jeans"/>
    <s v="Jeans"/>
    <n v="2"/>
    <n v="1350"/>
    <n v="75"/>
    <n v="2625"/>
    <n v="1700"/>
    <n v="925"/>
    <s v="Neha"/>
    <s v="Main Store"/>
    <s v="Jabalpur"/>
    <s v="UPI"/>
    <n v="0.35238095238095202"/>
  </r>
  <r>
    <s v="INV10334"/>
    <d v="2026-06-05T00:00:00"/>
    <s v="June"/>
    <x v="56"/>
    <s v="P002"/>
    <s v="Casual Shirt"/>
    <s v="Shirts"/>
    <n v="1"/>
    <n v="700"/>
    <n v="50"/>
    <n v="650"/>
    <n v="410"/>
    <n v="240"/>
    <s v="Amit"/>
    <s v="City Store"/>
    <s v="Jabalpur"/>
    <s v="Card"/>
    <n v="0.36923076923076897"/>
  </r>
  <r>
    <s v="INV10335"/>
    <d v="2026-07-05T00:00:00"/>
    <s v="July"/>
    <x v="109"/>
    <s v="P007"/>
    <s v="Regular Jeans"/>
    <s v="Jeans"/>
    <n v="1"/>
    <n v="1100"/>
    <n v="0"/>
    <n v="1100"/>
    <n v="680"/>
    <n v="420"/>
    <s v="Sandeep"/>
    <s v="Main Store"/>
    <s v="Jabalpur"/>
    <s v="UPI"/>
    <n v="0.381818181818182"/>
  </r>
  <r>
    <s v="INV10336"/>
    <d v="2026-05-25T00:00:00"/>
    <s v="May"/>
    <x v="87"/>
    <s v="P014"/>
    <s v="Kids Shirt"/>
    <s v="Kids Wear"/>
    <n v="2"/>
    <n v="600"/>
    <n v="75"/>
    <n v="1125"/>
    <n v="700"/>
    <n v="425"/>
    <s v="Amit"/>
    <s v="Main Store"/>
    <s v="Jabalpur"/>
    <s v="Card"/>
    <n v="0.37777777777777799"/>
  </r>
  <r>
    <s v="INV10337"/>
    <d v="2026-05-31T00:00:00"/>
    <s v="May"/>
    <x v="16"/>
    <s v="P003"/>
    <s v="Premium Shirt"/>
    <s v="Shirts"/>
    <n v="3"/>
    <n v="1250"/>
    <n v="50"/>
    <n v="3700"/>
    <n v="2280"/>
    <n v="1420"/>
    <s v="Neha"/>
    <s v="City Store"/>
    <s v="Indore"/>
    <s v="Cash"/>
    <n v="0.38378378378378403"/>
  </r>
  <r>
    <s v="INV10338"/>
    <d v="2026-05-27T00:00:00"/>
    <s v="May"/>
    <x v="28"/>
    <s v="P004"/>
    <s v="Basic T-Shirt"/>
    <s v="T-Shirts"/>
    <n v="1"/>
    <n v="550"/>
    <n v="0"/>
    <n v="550"/>
    <n v="300"/>
    <n v="250"/>
    <s v="Neha"/>
    <s v="City Store"/>
    <s v="Jabalpur"/>
    <s v="UPI"/>
    <n v="0.45454545454545398"/>
  </r>
  <r>
    <s v="INV10339"/>
    <d v="2026-05-30T00:00:00"/>
    <s v="May"/>
    <x v="12"/>
    <s v="P008"/>
    <s v="Cotton Trousers"/>
    <s v="Trousers"/>
    <n v="1"/>
    <n v="950"/>
    <n v="100"/>
    <n v="850"/>
    <n v="570"/>
    <n v="280"/>
    <s v="Amit"/>
    <s v="Main Store"/>
    <s v="Indore"/>
    <s v="Card"/>
    <n v="0.32941176470588202"/>
  </r>
  <r>
    <s v="INV10340"/>
    <d v="2026-06-22T00:00:00"/>
    <s v="June"/>
    <x v="81"/>
    <s v="P010"/>
    <s v="Hoodie"/>
    <s v="Winter Wear"/>
    <n v="2"/>
    <n v="1450"/>
    <n v="75"/>
    <n v="2825"/>
    <n v="1800"/>
    <n v="1025"/>
    <s v="Amit"/>
    <s v="Main Store"/>
    <s v="Bhopal"/>
    <s v="Cash"/>
    <n v="0.36283185840707999"/>
  </r>
  <r>
    <s v="INV10341"/>
    <d v="2026-06-15T00:00:00"/>
    <s v="June"/>
    <x v="88"/>
    <s v="P003"/>
    <s v="Premium Shirt"/>
    <s v="Shirts"/>
    <n v="3"/>
    <n v="1250"/>
    <n v="0"/>
    <n v="3750"/>
    <n v="2280"/>
    <n v="1470"/>
    <s v="Sandeep"/>
    <s v="City Store"/>
    <s v="Jabalpur"/>
    <s v="UPI"/>
    <n v="0.39200000000000002"/>
  </r>
  <r>
    <s v="INV10342"/>
    <d v="2026-07-22T00:00:00"/>
    <s v="July"/>
    <x v="88"/>
    <s v="P001"/>
    <s v="Formal Shirt"/>
    <s v="Shirts"/>
    <n v="1"/>
    <n v="850"/>
    <n v="0"/>
    <n v="850"/>
    <n v="520"/>
    <n v="330"/>
    <s v="Neha"/>
    <s v="Main Store"/>
    <s v="Bhopal"/>
    <s v="Card"/>
    <n v="0.38823529411764701"/>
  </r>
  <r>
    <s v="INV10343"/>
    <d v="2026-01-08T00:00:00"/>
    <s v="January"/>
    <x v="77"/>
    <s v="P009"/>
    <s v="Formal Trousers"/>
    <s v="Trousers"/>
    <n v="1"/>
    <n v="1200"/>
    <n v="75"/>
    <n v="1125"/>
    <n v="730"/>
    <n v="395"/>
    <s v="Amit"/>
    <s v="Main Store"/>
    <s v="Indore"/>
    <s v="UPI"/>
    <n v="0.35111111111111099"/>
  </r>
  <r>
    <s v="INV10344"/>
    <d v="2026-08-09T00:00:00"/>
    <s v="August"/>
    <x v="38"/>
    <s v="P008"/>
    <s v="Cotton Trousers"/>
    <s v="Trousers"/>
    <n v="1"/>
    <n v="950"/>
    <n v="0"/>
    <n v="950"/>
    <n v="570"/>
    <n v="380"/>
    <s v="Amit"/>
    <s v="City Store"/>
    <s v="Indore"/>
    <s v="UPI"/>
    <n v="0.4"/>
  </r>
  <r>
    <s v="INV10345"/>
    <d v="2026-05-29T00:00:00"/>
    <s v="May"/>
    <x v="39"/>
    <s v="P011"/>
    <s v="Sweatshirt"/>
    <s v="Winter Wear"/>
    <n v="4"/>
    <n v="1150"/>
    <n v="75"/>
    <n v="4525"/>
    <n v="2800"/>
    <n v="1725"/>
    <s v="Priya"/>
    <s v="Main Store"/>
    <s v="Bhopal"/>
    <s v="Cash"/>
    <n v="0.38121546961326003"/>
  </r>
  <r>
    <s v="INV10346"/>
    <d v="2026-03-09T00:00:00"/>
    <s v="March"/>
    <x v="51"/>
    <s v="P005"/>
    <s v="Polo T-Shirt"/>
    <s v="T-Shirts"/>
    <n v="1"/>
    <n v="750"/>
    <n v="75"/>
    <n v="675"/>
    <n v="430"/>
    <n v="245"/>
    <s v="Amit"/>
    <s v="City Store"/>
    <s v="Jabalpur"/>
    <s v="UPI"/>
    <n v="0.36296296296296299"/>
  </r>
  <r>
    <s v="INV10347"/>
    <d v="2026-03-17T00:00:00"/>
    <s v="March"/>
    <x v="108"/>
    <s v="P007"/>
    <s v="Regular Jeans"/>
    <s v="Jeans"/>
    <n v="1"/>
    <n v="1100"/>
    <n v="0"/>
    <n v="1100"/>
    <n v="680"/>
    <n v="420"/>
    <s v="Amit"/>
    <s v="Main Store"/>
    <s v="Indore"/>
    <s v="UPI"/>
    <n v="0.381818181818182"/>
  </r>
  <r>
    <s v="INV10348"/>
    <d v="2026-01-20T00:00:00"/>
    <s v="January"/>
    <x v="43"/>
    <s v="P006"/>
    <s v="Slim Jeans"/>
    <s v="Jeans"/>
    <n v="2"/>
    <n v="1350"/>
    <n v="50"/>
    <n v="2650"/>
    <n v="1700"/>
    <n v="950"/>
    <s v="Neha"/>
    <s v="City Store"/>
    <s v="Bhopal"/>
    <s v="Cash"/>
    <n v="0.35849056603773599"/>
  </r>
  <r>
    <s v="INV10349"/>
    <d v="2026-03-08T00:00:00"/>
    <s v="March"/>
    <x v="66"/>
    <s v="P012"/>
    <s v="Kurta"/>
    <s v="Ethnic Wear"/>
    <n v="1"/>
    <n v="900"/>
    <n v="50"/>
    <n v="850"/>
    <n v="540"/>
    <n v="310"/>
    <s v="Priya"/>
    <s v="City Store"/>
    <s v="Indore"/>
    <s v="Cash"/>
    <n v="0.36470588235294099"/>
  </r>
  <r>
    <s v="INV10350"/>
    <d v="2026-01-06T00:00:00"/>
    <s v="January"/>
    <x v="66"/>
    <s v="P009"/>
    <s v="Formal Trousers"/>
    <s v="Trousers"/>
    <n v="1"/>
    <n v="1200"/>
    <n v="50"/>
    <n v="1150"/>
    <n v="730"/>
    <n v="420"/>
    <s v="Amit"/>
    <s v="City Store"/>
    <s v="Jabalpur"/>
    <s v="UPI"/>
    <n v="0.36521739130434799"/>
  </r>
  <r>
    <s v="INV10351"/>
    <d v="2026-05-04T00:00:00"/>
    <s v="May"/>
    <x v="7"/>
    <s v="P006"/>
    <s v="Slim Jeans"/>
    <s v="Jeans"/>
    <n v="1"/>
    <n v="1350"/>
    <n v="0"/>
    <n v="1350"/>
    <n v="850"/>
    <n v="500"/>
    <s v="Amit"/>
    <s v="Main Store"/>
    <s v="Jabalpur"/>
    <s v="Cash"/>
    <n v="0.37037037037037002"/>
  </r>
  <r>
    <s v="INV10352"/>
    <d v="2026-08-25T00:00:00"/>
    <s v="August"/>
    <x v="112"/>
    <s v="P003"/>
    <s v="Premium Shirt"/>
    <s v="Shirts"/>
    <n v="1"/>
    <n v="1250"/>
    <n v="50"/>
    <n v="1200"/>
    <n v="760"/>
    <n v="440"/>
    <s v="Amit"/>
    <s v="Main Store"/>
    <s v="Jabalpur"/>
    <s v="UPI"/>
    <n v="0.36666666666666697"/>
  </r>
  <r>
    <s v="INV10353"/>
    <d v="2026-05-28T00:00:00"/>
    <s v="May"/>
    <x v="18"/>
    <s v="P014"/>
    <s v="Kids Shirt"/>
    <s v="Kids Wear"/>
    <n v="1"/>
    <n v="600"/>
    <n v="75"/>
    <n v="525"/>
    <n v="350"/>
    <n v="175"/>
    <s v="Rohit"/>
    <s v="Main Store"/>
    <s v="Jabalpur"/>
    <s v="UPI"/>
    <n v="0.33333333333333298"/>
  </r>
  <r>
    <s v="INV10354"/>
    <d v="2026-08-21T00:00:00"/>
    <s v="August"/>
    <x v="79"/>
    <s v="P014"/>
    <s v="Kids Shirt"/>
    <s v="Kids Wear"/>
    <n v="1"/>
    <n v="600"/>
    <n v="0"/>
    <n v="600"/>
    <n v="350"/>
    <n v="250"/>
    <s v="Sandeep"/>
    <s v="Main Store"/>
    <s v="Jabalpur"/>
    <s v="Card"/>
    <n v="0.41666666666666702"/>
  </r>
  <r>
    <s v="INV10355"/>
    <d v="2026-02-10T00:00:00"/>
    <s v="February"/>
    <x v="87"/>
    <s v="P005"/>
    <s v="Polo T-Shirt"/>
    <s v="T-Shirts"/>
    <n v="1"/>
    <n v="750"/>
    <n v="20"/>
    <n v="730"/>
    <n v="430"/>
    <n v="300"/>
    <s v="Sandeep"/>
    <s v="City Store"/>
    <s v="Bhopal"/>
    <s v="UPI"/>
    <n v="0.41095890410958902"/>
  </r>
  <r>
    <s v="INV10356"/>
    <d v="2026-01-01T00:00:00"/>
    <s v="January"/>
    <x v="84"/>
    <s v="P011"/>
    <s v="Sweatshirt"/>
    <s v="Winter Wear"/>
    <n v="1"/>
    <n v="1150"/>
    <n v="0"/>
    <n v="1150"/>
    <n v="700"/>
    <n v="450"/>
    <s v="Priya"/>
    <s v="Main Store"/>
    <s v="Jabalpur"/>
    <s v="Card"/>
    <n v="0.39130434782608697"/>
  </r>
  <r>
    <s v="INV10357"/>
    <d v="2026-03-31T00:00:00"/>
    <s v="March"/>
    <x v="75"/>
    <s v="P012"/>
    <s v="Kurta"/>
    <s v="Ethnic Wear"/>
    <n v="2"/>
    <n v="900"/>
    <n v="0"/>
    <n v="1800"/>
    <n v="1080"/>
    <n v="720"/>
    <s v="Priya"/>
    <s v="City Store"/>
    <s v="Jabalpur"/>
    <s v="UPI"/>
    <n v="0.4"/>
  </r>
  <r>
    <s v="INV10358"/>
    <d v="2026-06-24T00:00:00"/>
    <s v="June"/>
    <x v="21"/>
    <s v="P011"/>
    <s v="Sweatshirt"/>
    <s v="Winter Wear"/>
    <n v="1"/>
    <n v="1150"/>
    <n v="50"/>
    <n v="1100"/>
    <n v="700"/>
    <n v="400"/>
    <s v="Amit"/>
    <s v="Main Store"/>
    <s v="Indore"/>
    <s v="UPI"/>
    <n v="0.36363636363636398"/>
  </r>
  <r>
    <s v="INV10359"/>
    <d v="2026-03-23T00:00:00"/>
    <s v="March"/>
    <x v="68"/>
    <s v="P004"/>
    <s v="Basic T-Shirt"/>
    <s v="T-Shirts"/>
    <n v="1"/>
    <n v="550"/>
    <n v="20"/>
    <n v="530"/>
    <n v="300"/>
    <n v="230"/>
    <s v="Neha"/>
    <s v="Main Store"/>
    <s v="Jabalpur"/>
    <s v="UPI"/>
    <n v="0.43396226415094302"/>
  </r>
  <r>
    <s v="INV10360"/>
    <d v="2026-01-02T00:00:00"/>
    <s v="January"/>
    <x v="72"/>
    <s v="P010"/>
    <s v="Hoodie"/>
    <s v="Winter Wear"/>
    <n v="1"/>
    <n v="1450"/>
    <n v="50"/>
    <n v="1400"/>
    <n v="900"/>
    <n v="500"/>
    <s v="Sandeep"/>
    <s v="Main Store"/>
    <s v="Indore"/>
    <s v="UPI"/>
    <n v="0.35714285714285698"/>
  </r>
  <r>
    <s v="INV10361"/>
    <d v="2026-02-20T00:00:00"/>
    <s v="February"/>
    <x v="20"/>
    <s v="P011"/>
    <s v="Sweatshirt"/>
    <s v="Winter Wear"/>
    <n v="2"/>
    <n v="1150"/>
    <n v="20"/>
    <n v="2280"/>
    <n v="1400"/>
    <n v="880"/>
    <s v="Amit"/>
    <s v="Main Store"/>
    <s v="Bhopal"/>
    <s v="Card"/>
    <n v="0.38596491228070201"/>
  </r>
  <r>
    <s v="INV10362"/>
    <d v="2026-04-03T00:00:00"/>
    <s v="April"/>
    <x v="53"/>
    <s v="P004"/>
    <s v="Basic T-Shirt"/>
    <s v="T-Shirts"/>
    <n v="2"/>
    <n v="550"/>
    <n v="50"/>
    <n v="1050"/>
    <n v="600"/>
    <n v="450"/>
    <s v="Neha"/>
    <s v="City Store"/>
    <s v="Indore"/>
    <s v="UPI"/>
    <n v="0.42857142857142899"/>
  </r>
  <r>
    <s v="INV10363"/>
    <d v="2026-08-23T00:00:00"/>
    <s v="August"/>
    <x v="113"/>
    <s v="P001"/>
    <s v="Formal Shirt"/>
    <s v="Shirts"/>
    <n v="2"/>
    <n v="850"/>
    <n v="20"/>
    <n v="1680"/>
    <n v="1040"/>
    <n v="640"/>
    <s v="Sandeep"/>
    <s v="Main Store"/>
    <s v="Indore"/>
    <s v="Card"/>
    <n v="0.38095238095238099"/>
  </r>
  <r>
    <s v="INV10364"/>
    <d v="2026-01-23T00:00:00"/>
    <s v="January"/>
    <x v="1"/>
    <s v="P014"/>
    <s v="Kids Shirt"/>
    <s v="Kids Wear"/>
    <n v="2"/>
    <n v="600"/>
    <n v="0"/>
    <n v="1200"/>
    <n v="700"/>
    <n v="500"/>
    <s v="Amit"/>
    <s v="City Store"/>
    <s v="Jabalpur"/>
    <s v="Cash"/>
    <n v="0.41666666666666702"/>
  </r>
  <r>
    <s v="INV10365"/>
    <d v="2026-03-14T00:00:00"/>
    <s v="March"/>
    <x v="88"/>
    <s v="P002"/>
    <s v="Casual Shirt"/>
    <s v="Shirts"/>
    <n v="1"/>
    <n v="700"/>
    <n v="0"/>
    <n v="700"/>
    <n v="410"/>
    <n v="290"/>
    <s v="Rohit"/>
    <s v="City Store"/>
    <s v="Indore"/>
    <s v="UPI"/>
    <n v="0.41428571428571398"/>
  </r>
  <r>
    <s v="INV10366"/>
    <d v="2026-03-04T00:00:00"/>
    <s v="March"/>
    <x v="47"/>
    <s v="P003"/>
    <s v="Premium Shirt"/>
    <s v="Shirts"/>
    <n v="3"/>
    <n v="1250"/>
    <n v="75"/>
    <n v="3675"/>
    <n v="2280"/>
    <n v="1395"/>
    <s v="Neha"/>
    <s v="City Store"/>
    <s v="Indore"/>
    <s v="UPI"/>
    <n v="0.37959183673469399"/>
  </r>
  <r>
    <s v="INV10367"/>
    <d v="2026-06-16T00:00:00"/>
    <s v="June"/>
    <x v="41"/>
    <s v="P006"/>
    <s v="Slim Jeans"/>
    <s v="Jeans"/>
    <n v="2"/>
    <n v="1350"/>
    <n v="50"/>
    <n v="2650"/>
    <n v="1700"/>
    <n v="950"/>
    <s v="Priya"/>
    <s v="Main Store"/>
    <s v="Bhopal"/>
    <s v="UPI"/>
    <n v="0.35849056603773599"/>
  </r>
  <r>
    <s v="INV10368"/>
    <d v="2026-01-19T00:00:00"/>
    <s v="January"/>
    <x v="43"/>
    <s v="P008"/>
    <s v="Cotton Trousers"/>
    <s v="Trousers"/>
    <n v="2"/>
    <n v="950"/>
    <n v="100"/>
    <n v="1800"/>
    <n v="1140"/>
    <n v="660"/>
    <s v="Rohit"/>
    <s v="City Store"/>
    <s v="Indore"/>
    <s v="Cash"/>
    <n v="0.36666666666666697"/>
  </r>
  <r>
    <s v="INV10369"/>
    <d v="2026-05-19T00:00:00"/>
    <s v="May"/>
    <x v="55"/>
    <s v="P011"/>
    <s v="Sweatshirt"/>
    <s v="Winter Wear"/>
    <n v="1"/>
    <n v="1150"/>
    <n v="50"/>
    <n v="1100"/>
    <n v="700"/>
    <n v="400"/>
    <s v="Amit"/>
    <s v="City Store"/>
    <s v="Jabalpur"/>
    <s v="Cash"/>
    <n v="0.36363636363636398"/>
  </r>
  <r>
    <s v="INV10370"/>
    <d v="2026-01-31T00:00:00"/>
    <s v="January"/>
    <x v="42"/>
    <s v="P004"/>
    <s v="Basic T-Shirt"/>
    <s v="T-Shirts"/>
    <n v="2"/>
    <n v="550"/>
    <n v="20"/>
    <n v="1080"/>
    <n v="600"/>
    <n v="480"/>
    <s v="Amit"/>
    <s v="Main Store"/>
    <s v="Indore"/>
    <s v="Cash"/>
    <n v="0.44444444444444398"/>
  </r>
  <r>
    <s v="INV10371"/>
    <d v="2026-02-14T00:00:00"/>
    <s v="February"/>
    <x v="42"/>
    <s v="P008"/>
    <s v="Cotton Trousers"/>
    <s v="Trousers"/>
    <n v="4"/>
    <n v="950"/>
    <n v="20"/>
    <n v="3780"/>
    <n v="2280"/>
    <n v="1500"/>
    <s v="Rohit"/>
    <s v="Main Store"/>
    <s v="Indore"/>
    <s v="UPI"/>
    <n v="0.39682539682539703"/>
  </r>
  <r>
    <s v="INV10372"/>
    <d v="2026-02-28T00:00:00"/>
    <s v="February"/>
    <x v="80"/>
    <s v="P011"/>
    <s v="Sweatshirt"/>
    <s v="Winter Wear"/>
    <n v="1"/>
    <n v="1150"/>
    <n v="0"/>
    <n v="1150"/>
    <n v="700"/>
    <n v="450"/>
    <s v="Sandeep"/>
    <s v="City Store"/>
    <s v="Indore"/>
    <s v="Card"/>
    <n v="0.39130434782608697"/>
  </r>
  <r>
    <s v="INV10373"/>
    <d v="2026-02-04T00:00:00"/>
    <s v="February"/>
    <x v="21"/>
    <s v="P013"/>
    <s v="Kurta Set"/>
    <s v="Ethnic Wear"/>
    <n v="1"/>
    <n v="1500"/>
    <n v="20"/>
    <n v="1480"/>
    <n v="920"/>
    <n v="560"/>
    <s v="Priya"/>
    <s v="City Store"/>
    <s v="Jabalpur"/>
    <s v="Credit"/>
    <n v="0.37837837837837801"/>
  </r>
  <r>
    <s v="INV10374"/>
    <d v="2026-05-25T00:00:00"/>
    <s v="May"/>
    <x v="67"/>
    <s v="P013"/>
    <s v="Kurta Set"/>
    <s v="Ethnic Wear"/>
    <n v="2"/>
    <n v="1500"/>
    <n v="0"/>
    <n v="3000"/>
    <n v="1840"/>
    <n v="1160"/>
    <s v="Priya"/>
    <s v="Main Store"/>
    <s v="Jabalpur"/>
    <s v="Cash"/>
    <n v="0.38666666666666699"/>
  </r>
  <r>
    <s v="INV10375"/>
    <d v="2026-05-03T00:00:00"/>
    <s v="May"/>
    <x v="21"/>
    <s v="P013"/>
    <s v="Kurta Set"/>
    <s v="Ethnic Wear"/>
    <n v="1"/>
    <n v="1500"/>
    <n v="50"/>
    <n v="1450"/>
    <n v="920"/>
    <n v="530"/>
    <s v="Neha"/>
    <s v="Main Store"/>
    <s v="Indore"/>
    <s v="Card"/>
    <n v="0.36551724137931002"/>
  </r>
  <r>
    <s v="INV10376"/>
    <d v="2026-06-23T00:00:00"/>
    <s v="June"/>
    <x v="17"/>
    <s v="P013"/>
    <s v="Kurta Set"/>
    <s v="Ethnic Wear"/>
    <n v="1"/>
    <n v="1500"/>
    <n v="0"/>
    <n v="1500"/>
    <n v="920"/>
    <n v="580"/>
    <s v="Sandeep"/>
    <s v="City Store"/>
    <s v="Bhopal"/>
    <s v="Cash"/>
    <n v="0.38666666666666699"/>
  </r>
  <r>
    <s v="INV10377"/>
    <d v="2026-05-05T00:00:00"/>
    <s v="May"/>
    <x v="65"/>
    <s v="P003"/>
    <s v="Premium Shirt"/>
    <s v="Shirts"/>
    <n v="1"/>
    <n v="1250"/>
    <n v="20"/>
    <n v="1230"/>
    <n v="760"/>
    <n v="470"/>
    <s v="Sandeep"/>
    <s v="Main Store"/>
    <s v="Indore"/>
    <s v="Cash"/>
    <n v="0.38211382113821102"/>
  </r>
  <r>
    <s v="INV10378"/>
    <d v="2026-03-23T00:00:00"/>
    <s v="March"/>
    <x v="33"/>
    <s v="P003"/>
    <s v="Premium Shirt"/>
    <s v="Shirts"/>
    <n v="2"/>
    <n v="1250"/>
    <n v="50"/>
    <n v="2450"/>
    <n v="1520"/>
    <n v="930"/>
    <s v="Amit"/>
    <s v="City Store"/>
    <s v="Indore"/>
    <s v="Cash"/>
    <n v="0.37959183673469399"/>
  </r>
  <r>
    <s v="INV10379"/>
    <d v="2026-05-25T00:00:00"/>
    <s v="May"/>
    <x v="68"/>
    <s v="P007"/>
    <s v="Regular Jeans"/>
    <s v="Jeans"/>
    <n v="1"/>
    <n v="1100"/>
    <n v="0"/>
    <n v="1100"/>
    <n v="680"/>
    <n v="420"/>
    <s v="Priya"/>
    <s v="City Store"/>
    <s v="Bhopal"/>
    <s v="UPI"/>
    <n v="0.381818181818182"/>
  </r>
  <r>
    <s v="INV10380"/>
    <d v="2026-06-22T00:00:00"/>
    <s v="June"/>
    <x v="56"/>
    <s v="P011"/>
    <s v="Sweatshirt"/>
    <s v="Winter Wear"/>
    <n v="3"/>
    <n v="1150"/>
    <n v="50"/>
    <n v="3400"/>
    <n v="2100"/>
    <n v="1300"/>
    <s v="Priya"/>
    <s v="City Store"/>
    <s v="Jabalpur"/>
    <s v="Card"/>
    <n v="0.38235294117647101"/>
  </r>
  <r>
    <s v="INV10381"/>
    <d v="2026-01-20T00:00:00"/>
    <s v="January"/>
    <x v="98"/>
    <s v="P007"/>
    <s v="Regular Jeans"/>
    <s v="Jeans"/>
    <n v="1"/>
    <n v="1100"/>
    <n v="50"/>
    <n v="1050"/>
    <n v="680"/>
    <n v="370"/>
    <s v="Rohit"/>
    <s v="City Store"/>
    <s v="Indore"/>
    <s v="UPI"/>
    <n v="0.35238095238095202"/>
  </r>
  <r>
    <s v="INV10382"/>
    <d v="2026-02-21T00:00:00"/>
    <s v="February"/>
    <x v="114"/>
    <s v="P003"/>
    <s v="Premium Shirt"/>
    <s v="Shirts"/>
    <n v="1"/>
    <n v="1250"/>
    <n v="0"/>
    <n v="1250"/>
    <n v="760"/>
    <n v="490"/>
    <s v="Rohit"/>
    <s v="City Store"/>
    <s v="Indore"/>
    <s v="Cash"/>
    <n v="0.39200000000000002"/>
  </r>
  <r>
    <s v="INV10383"/>
    <d v="2026-07-22T00:00:00"/>
    <s v="July"/>
    <x v="97"/>
    <s v="P014"/>
    <s v="Kids Shirt"/>
    <s v="Kids Wear"/>
    <n v="2"/>
    <n v="600"/>
    <n v="20"/>
    <n v="1180"/>
    <n v="700"/>
    <n v="480"/>
    <s v="Amit"/>
    <s v="Main Store"/>
    <s v="Indore"/>
    <s v="Card"/>
    <n v="0.40677966101694901"/>
  </r>
  <r>
    <s v="INV10384"/>
    <d v="2026-06-28T00:00:00"/>
    <s v="June"/>
    <x v="56"/>
    <s v="P005"/>
    <s v="Polo T-Shirt"/>
    <s v="T-Shirts"/>
    <n v="4"/>
    <n v="750"/>
    <n v="20"/>
    <n v="2980"/>
    <n v="1720"/>
    <n v="1260"/>
    <s v="Priya"/>
    <s v="Main Store"/>
    <s v="Jabalpur"/>
    <s v="Cash"/>
    <n v="0.422818791946309"/>
  </r>
  <r>
    <s v="INV10385"/>
    <d v="2026-03-22T00:00:00"/>
    <s v="March"/>
    <x v="62"/>
    <s v="P015"/>
    <s v="Kids Jeans"/>
    <s v="Kids Wear"/>
    <n v="1"/>
    <n v="800"/>
    <n v="75"/>
    <n v="725"/>
    <n v="470"/>
    <n v="255"/>
    <s v="Amit"/>
    <s v="Main Store"/>
    <s v="Bhopal"/>
    <s v="UPI"/>
    <n v="0.35172413793103402"/>
  </r>
  <r>
    <s v="INV10386"/>
    <d v="2026-08-26T00:00:00"/>
    <s v="August"/>
    <x v="0"/>
    <s v="P003"/>
    <s v="Premium Shirt"/>
    <s v="Shirts"/>
    <n v="1"/>
    <n v="1250"/>
    <n v="20"/>
    <n v="1230"/>
    <n v="760"/>
    <n v="470"/>
    <s v="Rohit"/>
    <s v="City Store"/>
    <s v="Indore"/>
    <s v="Cash"/>
    <n v="0.38211382113821102"/>
  </r>
  <r>
    <s v="INV10387"/>
    <d v="2026-03-05T00:00:00"/>
    <s v="March"/>
    <x v="2"/>
    <s v="P011"/>
    <s v="Sweatshirt"/>
    <s v="Winter Wear"/>
    <n v="3"/>
    <n v="1150"/>
    <n v="20"/>
    <n v="3430"/>
    <n v="2100"/>
    <n v="1330"/>
    <s v="Priya"/>
    <s v="City Store"/>
    <s v="Jabalpur"/>
    <s v="UPI"/>
    <n v="0.38775510204081598"/>
  </r>
  <r>
    <s v="INV10388"/>
    <d v="2026-06-12T00:00:00"/>
    <s v="June"/>
    <x v="54"/>
    <s v="P008"/>
    <s v="Cotton Trousers"/>
    <s v="Trousers"/>
    <n v="1"/>
    <n v="950"/>
    <n v="50"/>
    <n v="900"/>
    <n v="570"/>
    <n v="330"/>
    <s v="Rohit"/>
    <s v="City Store"/>
    <s v="Indore"/>
    <s v="Card"/>
    <n v="0.36666666666666697"/>
  </r>
  <r>
    <s v="INV10389"/>
    <d v="2026-02-05T00:00:00"/>
    <s v="February"/>
    <x v="109"/>
    <s v="P007"/>
    <s v="Regular Jeans"/>
    <s v="Jeans"/>
    <n v="1"/>
    <n v="1100"/>
    <n v="0"/>
    <n v="1100"/>
    <n v="680"/>
    <n v="420"/>
    <s v="Sandeep"/>
    <s v="Main Store"/>
    <s v="Bhopal"/>
    <s v="UPI"/>
    <n v="0.381818181818182"/>
  </r>
  <r>
    <s v="INV10390"/>
    <d v="2026-07-20T00:00:00"/>
    <s v="July"/>
    <x v="13"/>
    <s v="P008"/>
    <s v="Cotton Trousers"/>
    <s v="Trousers"/>
    <n v="3"/>
    <n v="950"/>
    <n v="75"/>
    <n v="2775"/>
    <n v="1710"/>
    <n v="1065"/>
    <s v="Priya"/>
    <s v="Main Store"/>
    <s v="Indore"/>
    <s v="UPI"/>
    <n v="0.38378378378378403"/>
  </r>
  <r>
    <s v="INV10391"/>
    <d v="2026-05-08T00:00:00"/>
    <s v="May"/>
    <x v="42"/>
    <s v="P007"/>
    <s v="Regular Jeans"/>
    <s v="Jeans"/>
    <n v="1"/>
    <n v="1100"/>
    <n v="0"/>
    <n v="1100"/>
    <n v="680"/>
    <n v="420"/>
    <s v="Neha"/>
    <s v="Main Store"/>
    <s v="Bhopal"/>
    <s v="Cash"/>
    <n v="0.381818181818182"/>
  </r>
  <r>
    <s v="INV10392"/>
    <d v="2026-03-02T00:00:00"/>
    <s v="March"/>
    <x v="86"/>
    <s v="P013"/>
    <s v="Kurta Set"/>
    <s v="Ethnic Wear"/>
    <n v="3"/>
    <n v="1500"/>
    <n v="0"/>
    <n v="4500"/>
    <n v="2760"/>
    <n v="1740"/>
    <s v="Neha"/>
    <s v="City Store"/>
    <s v="Indore"/>
    <s v="UPI"/>
    <n v="0.38666666666666699"/>
  </r>
  <r>
    <s v="INV10393"/>
    <d v="2026-04-12T00:00:00"/>
    <s v="April"/>
    <x v="92"/>
    <s v="P007"/>
    <s v="Regular Jeans"/>
    <s v="Jeans"/>
    <n v="2"/>
    <n v="1100"/>
    <n v="0"/>
    <n v="2200"/>
    <n v="1360"/>
    <n v="840"/>
    <s v="Rohit"/>
    <s v="City Store"/>
    <s v="Indore"/>
    <s v="UPI"/>
    <n v="0.381818181818182"/>
  </r>
  <r>
    <s v="INV10394"/>
    <d v="2026-07-14T00:00:00"/>
    <s v="July"/>
    <x v="6"/>
    <s v="P015"/>
    <s v="Kids Jeans"/>
    <s v="Kids Wear"/>
    <n v="1"/>
    <n v="800"/>
    <n v="75"/>
    <n v="725"/>
    <n v="470"/>
    <n v="255"/>
    <s v="Neha"/>
    <s v="City Store"/>
    <s v="Jabalpur"/>
    <s v="Cash"/>
    <n v="0.35172413793103402"/>
  </r>
  <r>
    <s v="INV10395"/>
    <d v="2026-06-30T00:00:00"/>
    <s v="June"/>
    <x v="102"/>
    <s v="P007"/>
    <s v="Regular Jeans"/>
    <s v="Jeans"/>
    <n v="1"/>
    <n v="1100"/>
    <n v="50"/>
    <n v="1050"/>
    <n v="680"/>
    <n v="370"/>
    <s v="Sandeep"/>
    <s v="Main Store"/>
    <s v="Jabalpur"/>
    <s v="UPI"/>
    <n v="0.35238095238095202"/>
  </r>
  <r>
    <s v="INV10396"/>
    <d v="2026-01-23T00:00:00"/>
    <s v="January"/>
    <x v="32"/>
    <s v="P009"/>
    <s v="Formal Trousers"/>
    <s v="Trousers"/>
    <n v="1"/>
    <n v="1200"/>
    <n v="75"/>
    <n v="1125"/>
    <n v="730"/>
    <n v="395"/>
    <s v="Rohit"/>
    <s v="City Store"/>
    <s v="Indore"/>
    <s v="UPI"/>
    <n v="0.35111111111111099"/>
  </r>
  <r>
    <s v="INV10397"/>
    <d v="2026-02-22T00:00:00"/>
    <s v="February"/>
    <x v="1"/>
    <s v="P002"/>
    <s v="Casual Shirt"/>
    <s v="Shirts"/>
    <n v="1"/>
    <n v="700"/>
    <n v="50"/>
    <n v="650"/>
    <n v="410"/>
    <n v="240"/>
    <s v="Priya"/>
    <s v="Main Store"/>
    <s v="Bhopal"/>
    <s v="Card"/>
    <n v="0.36923076923076897"/>
  </r>
  <r>
    <s v="INV10398"/>
    <d v="2026-02-03T00:00:00"/>
    <s v="February"/>
    <x v="107"/>
    <s v="P002"/>
    <s v="Casual Shirt"/>
    <s v="Shirts"/>
    <n v="1"/>
    <n v="700"/>
    <n v="0"/>
    <n v="700"/>
    <n v="410"/>
    <n v="290"/>
    <s v="Rohit"/>
    <s v="Main Store"/>
    <s v="Bhopal"/>
    <s v="UPI"/>
    <n v="0.41428571428571398"/>
  </r>
  <r>
    <s v="INV10399"/>
    <d v="2026-04-03T00:00:00"/>
    <s v="April"/>
    <x v="61"/>
    <s v="P001"/>
    <s v="Formal Shirt"/>
    <s v="Shirts"/>
    <n v="1"/>
    <n v="850"/>
    <n v="0"/>
    <n v="850"/>
    <n v="520"/>
    <n v="330"/>
    <s v="Rohit"/>
    <s v="City Store"/>
    <s v="Indore"/>
    <s v="Card"/>
    <n v="0.38823529411764701"/>
  </r>
  <r>
    <s v="INV10400"/>
    <d v="2026-05-14T00:00:00"/>
    <s v="May"/>
    <x v="39"/>
    <s v="P007"/>
    <s v="Regular Jeans"/>
    <s v="Jeans"/>
    <n v="2"/>
    <n v="1100"/>
    <n v="20"/>
    <n v="2180"/>
    <n v="1360"/>
    <n v="820"/>
    <s v="Priya"/>
    <s v="Main Store"/>
    <s v="Jabalpur"/>
    <s v="Card"/>
    <n v="0.37614678899082599"/>
  </r>
  <r>
    <s v="INV10401"/>
    <d v="2026-06-04T00:00:00"/>
    <s v="June"/>
    <x v="41"/>
    <s v="P009"/>
    <s v="Formal Trousers"/>
    <s v="Trousers"/>
    <n v="1"/>
    <n v="1200"/>
    <n v="0"/>
    <n v="1200"/>
    <n v="730"/>
    <n v="470"/>
    <s v="Priya"/>
    <s v="City Store"/>
    <s v="Indore"/>
    <s v="Card"/>
    <n v="0.391666666666667"/>
  </r>
  <r>
    <s v="INV10402"/>
    <d v="2026-02-25T00:00:00"/>
    <s v="February"/>
    <x v="115"/>
    <s v="P013"/>
    <s v="Kurta Set"/>
    <s v="Ethnic Wear"/>
    <n v="1"/>
    <n v="1500"/>
    <n v="20"/>
    <n v="1480"/>
    <n v="920"/>
    <n v="560"/>
    <s v="Neha"/>
    <s v="Main Store"/>
    <s v="Jabalpur"/>
    <s v="Cash"/>
    <n v="0.37837837837837801"/>
  </r>
  <r>
    <s v="INV10403"/>
    <d v="2026-08-05T00:00:00"/>
    <s v="August"/>
    <x v="71"/>
    <s v="P010"/>
    <s v="Hoodie"/>
    <s v="Winter Wear"/>
    <n v="2"/>
    <n v="1450"/>
    <n v="100"/>
    <n v="2800"/>
    <n v="1800"/>
    <n v="1000"/>
    <s v="Rohit"/>
    <s v="Main Store"/>
    <s v="Bhopal"/>
    <s v="UPI"/>
    <n v="0.35714285714285698"/>
  </r>
  <r>
    <s v="INV10404"/>
    <d v="2026-04-18T00:00:00"/>
    <s v="April"/>
    <x v="78"/>
    <s v="P011"/>
    <s v="Sweatshirt"/>
    <s v="Winter Wear"/>
    <n v="2"/>
    <n v="1150"/>
    <n v="100"/>
    <n v="2200"/>
    <n v="1400"/>
    <n v="800"/>
    <s v="Amit"/>
    <s v="City Store"/>
    <s v="Bhopal"/>
    <s v="Card"/>
    <n v="0.36363636363636398"/>
  </r>
  <r>
    <s v="INV10405"/>
    <d v="2026-05-20T00:00:00"/>
    <s v="May"/>
    <x v="59"/>
    <s v="P009"/>
    <s v="Formal Trousers"/>
    <s v="Trousers"/>
    <n v="1"/>
    <n v="1200"/>
    <n v="50"/>
    <n v="1150"/>
    <n v="730"/>
    <n v="420"/>
    <s v="Rohit"/>
    <s v="Main Store"/>
    <s v="Jabalpur"/>
    <s v="Cash"/>
    <n v="0.36521739130434799"/>
  </r>
  <r>
    <s v="INV10406"/>
    <d v="2026-02-16T00:00:00"/>
    <s v="February"/>
    <x v="27"/>
    <s v="P007"/>
    <s v="Regular Jeans"/>
    <s v="Jeans"/>
    <n v="1"/>
    <n v="1100"/>
    <n v="20"/>
    <n v="1080"/>
    <n v="680"/>
    <n v="400"/>
    <s v="Rohit"/>
    <s v="City Store"/>
    <s v="Indore"/>
    <s v="Card"/>
    <n v="0.37037037037037002"/>
  </r>
  <r>
    <s v="INV10407"/>
    <d v="2026-07-29T00:00:00"/>
    <s v="July"/>
    <x v="68"/>
    <s v="P009"/>
    <s v="Formal Trousers"/>
    <s v="Trousers"/>
    <n v="1"/>
    <n v="1200"/>
    <n v="50"/>
    <n v="1150"/>
    <n v="730"/>
    <n v="420"/>
    <s v="Sandeep"/>
    <s v="City Store"/>
    <s v="Bhopal"/>
    <s v="Card"/>
    <n v="0.36521739130434799"/>
  </r>
  <r>
    <s v="INV10408"/>
    <d v="2026-07-03T00:00:00"/>
    <s v="July"/>
    <x v="66"/>
    <s v="P009"/>
    <s v="Formal Trousers"/>
    <s v="Trousers"/>
    <n v="2"/>
    <n v="1200"/>
    <n v="20"/>
    <n v="2380"/>
    <n v="1460"/>
    <n v="920"/>
    <s v="Amit"/>
    <s v="City Store"/>
    <s v="Jabalpur"/>
    <s v="Card"/>
    <n v="0.38655462184874001"/>
  </r>
  <r>
    <s v="INV10409"/>
    <d v="2026-01-07T00:00:00"/>
    <s v="January"/>
    <x v="100"/>
    <s v="P013"/>
    <s v="Kurta Set"/>
    <s v="Ethnic Wear"/>
    <n v="1"/>
    <n v="1500"/>
    <n v="0"/>
    <n v="1500"/>
    <n v="920"/>
    <n v="580"/>
    <s v="Rohit"/>
    <s v="Main Store"/>
    <s v="Indore"/>
    <s v="Cash"/>
    <n v="0.38666666666666699"/>
  </r>
  <r>
    <s v="INV10410"/>
    <d v="2026-03-06T00:00:00"/>
    <s v="March"/>
    <x v="76"/>
    <s v="P005"/>
    <s v="Polo T-Shirt"/>
    <s v="T-Shirts"/>
    <n v="2"/>
    <n v="750"/>
    <n v="20"/>
    <n v="1480"/>
    <n v="860"/>
    <n v="620"/>
    <s v="Sandeep"/>
    <s v="City Store"/>
    <s v="Bhopal"/>
    <s v="UPI"/>
    <n v="0.41891891891891903"/>
  </r>
  <r>
    <s v="INV10411"/>
    <d v="2026-02-22T00:00:00"/>
    <s v="February"/>
    <x v="30"/>
    <s v="P009"/>
    <s v="Formal Trousers"/>
    <s v="Trousers"/>
    <n v="2"/>
    <n v="1200"/>
    <n v="50"/>
    <n v="2350"/>
    <n v="1460"/>
    <n v="890"/>
    <s v="Sandeep"/>
    <s v="City Store"/>
    <s v="Indore"/>
    <s v="UPI"/>
    <n v="0.37872340425531897"/>
  </r>
  <r>
    <s v="INV10412"/>
    <d v="2026-04-10T00:00:00"/>
    <s v="April"/>
    <x v="8"/>
    <s v="P006"/>
    <s v="Slim Jeans"/>
    <s v="Jeans"/>
    <n v="1"/>
    <n v="1350"/>
    <n v="0"/>
    <n v="1350"/>
    <n v="850"/>
    <n v="500"/>
    <s v="Rohit"/>
    <s v="Main Store"/>
    <s v="Jabalpur"/>
    <s v="Card"/>
    <n v="0.37037037037037002"/>
  </r>
  <r>
    <s v="INV10413"/>
    <d v="2026-01-24T00:00:00"/>
    <s v="January"/>
    <x v="43"/>
    <s v="P006"/>
    <s v="Slim Jeans"/>
    <s v="Jeans"/>
    <n v="1"/>
    <n v="1350"/>
    <n v="20"/>
    <n v="1330"/>
    <n v="850"/>
    <n v="480"/>
    <s v="Neha"/>
    <s v="Main Store"/>
    <s v="Indore"/>
    <s v="Cash"/>
    <n v="0.360902255639098"/>
  </r>
  <r>
    <s v="INV10414"/>
    <d v="2026-01-16T00:00:00"/>
    <s v="January"/>
    <x v="56"/>
    <s v="P006"/>
    <s v="Slim Jeans"/>
    <s v="Jeans"/>
    <n v="2"/>
    <n v="1350"/>
    <n v="20"/>
    <n v="2680"/>
    <n v="1700"/>
    <n v="980"/>
    <s v="Amit"/>
    <s v="City Store"/>
    <s v="Indore"/>
    <s v="Card"/>
    <n v="0.365671641791045"/>
  </r>
  <r>
    <s v="INV10415"/>
    <d v="2026-08-10T00:00:00"/>
    <s v="August"/>
    <x v="49"/>
    <s v="P006"/>
    <s v="Slim Jeans"/>
    <s v="Jeans"/>
    <n v="1"/>
    <n v="1350"/>
    <n v="50"/>
    <n v="1300"/>
    <n v="850"/>
    <n v="450"/>
    <s v="Rohit"/>
    <s v="Main Store"/>
    <s v="Indore"/>
    <s v="UPI"/>
    <n v="0.34615384615384598"/>
  </r>
  <r>
    <s v="INV10416"/>
    <d v="2026-01-07T00:00:00"/>
    <s v="January"/>
    <x v="110"/>
    <s v="P005"/>
    <s v="Polo T-Shirt"/>
    <s v="T-Shirts"/>
    <n v="1"/>
    <n v="750"/>
    <n v="50"/>
    <n v="700"/>
    <n v="430"/>
    <n v="270"/>
    <s v="Amit"/>
    <s v="City Store"/>
    <s v="Bhopal"/>
    <s v="Cash"/>
    <n v="0.38571428571428601"/>
  </r>
  <r>
    <s v="INV10417"/>
    <d v="2026-07-20T00:00:00"/>
    <s v="July"/>
    <x v="32"/>
    <s v="P013"/>
    <s v="Kurta Set"/>
    <s v="Ethnic Wear"/>
    <n v="4"/>
    <n v="1500"/>
    <n v="75"/>
    <n v="5925"/>
    <n v="3680"/>
    <n v="2245"/>
    <s v="Neha"/>
    <s v="City Store"/>
    <s v="Jabalpur"/>
    <s v="Cash"/>
    <n v="0.378902953586498"/>
  </r>
  <r>
    <s v="INV10418"/>
    <d v="2026-05-12T00:00:00"/>
    <s v="May"/>
    <x v="33"/>
    <s v="P008"/>
    <s v="Cotton Trousers"/>
    <s v="Trousers"/>
    <n v="1"/>
    <n v="950"/>
    <n v="20"/>
    <n v="930"/>
    <n v="570"/>
    <n v="360"/>
    <s v="Neha"/>
    <s v="Main Store"/>
    <s v="Jabalpur"/>
    <s v="Card"/>
    <n v="0.38709677419354799"/>
  </r>
  <r>
    <s v="INV10419"/>
    <d v="2026-08-03T00:00:00"/>
    <s v="August"/>
    <x v="30"/>
    <s v="P002"/>
    <s v="Casual Shirt"/>
    <s v="Shirts"/>
    <n v="1"/>
    <n v="700"/>
    <n v="50"/>
    <n v="650"/>
    <n v="410"/>
    <n v="240"/>
    <s v="Rohit"/>
    <s v="City Store"/>
    <s v="Indore"/>
    <s v="Credit"/>
    <n v="0.36923076923076897"/>
  </r>
  <r>
    <s v="INV10420"/>
    <d v="2026-06-27T00:00:00"/>
    <s v="June"/>
    <x v="69"/>
    <s v="P007"/>
    <s v="Regular Jeans"/>
    <s v="Jeans"/>
    <n v="2"/>
    <n v="1100"/>
    <n v="100"/>
    <n v="2100"/>
    <n v="1360"/>
    <n v="740"/>
    <s v="Priya"/>
    <s v="City Store"/>
    <s v="Jabalpur"/>
    <s v="UPI"/>
    <n v="0.35238095238095202"/>
  </r>
  <r>
    <s v="INV10421"/>
    <d v="2026-01-26T00:00:00"/>
    <s v="January"/>
    <x v="109"/>
    <s v="P010"/>
    <s v="Hoodie"/>
    <s v="Winter Wear"/>
    <n v="1"/>
    <n v="1450"/>
    <n v="0"/>
    <n v="1450"/>
    <n v="900"/>
    <n v="550"/>
    <s v="Rohit"/>
    <s v="Main Store"/>
    <s v="Jabalpur"/>
    <s v="UPI"/>
    <n v="0.37931034482758602"/>
  </r>
  <r>
    <s v="INV10422"/>
    <d v="2026-08-27T00:00:00"/>
    <s v="August"/>
    <x v="73"/>
    <s v="P013"/>
    <s v="Kurta Set"/>
    <s v="Ethnic Wear"/>
    <n v="2"/>
    <n v="1500"/>
    <n v="50"/>
    <n v="2950"/>
    <n v="1840"/>
    <n v="1110"/>
    <s v="Priya"/>
    <s v="Main Store"/>
    <s v="Bhopal"/>
    <s v="Card"/>
    <n v="0.37627118644067797"/>
  </r>
  <r>
    <s v="INV10423"/>
    <d v="2026-07-07T00:00:00"/>
    <s v="July"/>
    <x v="116"/>
    <s v="P015"/>
    <s v="Kids Jeans"/>
    <s v="Kids Wear"/>
    <n v="3"/>
    <n v="800"/>
    <n v="0"/>
    <n v="2400"/>
    <n v="1410"/>
    <n v="990"/>
    <s v="Amit"/>
    <s v="City Store"/>
    <s v="Indore"/>
    <s v="Cash"/>
    <n v="0.41249999999999998"/>
  </r>
  <r>
    <s v="INV10424"/>
    <d v="2026-07-22T00:00:00"/>
    <s v="July"/>
    <x v="71"/>
    <s v="P002"/>
    <s v="Casual Shirt"/>
    <s v="Shirts"/>
    <n v="1"/>
    <n v="700"/>
    <n v="50"/>
    <n v="650"/>
    <n v="410"/>
    <n v="240"/>
    <s v="Amit"/>
    <s v="City Store"/>
    <s v="Indore"/>
    <s v="Cash"/>
    <n v="0.36923076923076897"/>
  </r>
  <r>
    <s v="INV10425"/>
    <d v="2026-02-15T00:00:00"/>
    <s v="February"/>
    <x v="39"/>
    <s v="P015"/>
    <s v="Kids Jeans"/>
    <s v="Kids Wear"/>
    <n v="1"/>
    <n v="800"/>
    <n v="100"/>
    <n v="700"/>
    <n v="470"/>
    <n v="230"/>
    <s v="Rohit"/>
    <s v="City Store"/>
    <s v="Indore"/>
    <s v="UPI"/>
    <n v="0.32857142857142901"/>
  </r>
  <r>
    <s v="INV10426"/>
    <d v="2026-04-03T00:00:00"/>
    <s v="April"/>
    <x v="6"/>
    <s v="P015"/>
    <s v="Kids Jeans"/>
    <s v="Kids Wear"/>
    <n v="1"/>
    <n v="800"/>
    <n v="0"/>
    <n v="800"/>
    <n v="470"/>
    <n v="330"/>
    <s v="Priya"/>
    <s v="Main Store"/>
    <s v="Bhopal"/>
    <s v="Cash"/>
    <n v="0.41249999999999998"/>
  </r>
  <r>
    <s v="INV10427"/>
    <d v="2026-01-11T00:00:00"/>
    <s v="January"/>
    <x v="73"/>
    <s v="P001"/>
    <s v="Formal Shirt"/>
    <s v="Shirts"/>
    <n v="4"/>
    <n v="850"/>
    <n v="50"/>
    <n v="3350"/>
    <n v="2080"/>
    <n v="1270"/>
    <s v="Priya"/>
    <s v="City Store"/>
    <s v="Indore"/>
    <s v="UPI"/>
    <n v="0.37910447761193999"/>
  </r>
  <r>
    <s v="INV10428"/>
    <d v="2026-03-05T00:00:00"/>
    <s v="March"/>
    <x v="16"/>
    <s v="P004"/>
    <s v="Basic T-Shirt"/>
    <s v="T-Shirts"/>
    <n v="4"/>
    <n v="550"/>
    <n v="100"/>
    <n v="2100"/>
    <n v="1200"/>
    <n v="900"/>
    <s v="Rohit"/>
    <s v="City Store"/>
    <s v="Jabalpur"/>
    <s v="UPI"/>
    <n v="0.42857142857142899"/>
  </r>
  <r>
    <s v="INV10429"/>
    <d v="2026-02-24T00:00:00"/>
    <s v="February"/>
    <x v="52"/>
    <s v="P005"/>
    <s v="Polo T-Shirt"/>
    <s v="T-Shirts"/>
    <n v="1"/>
    <n v="750"/>
    <n v="20"/>
    <n v="730"/>
    <n v="430"/>
    <n v="300"/>
    <s v="Rohit"/>
    <s v="City Store"/>
    <s v="Indore"/>
    <s v="UPI"/>
    <n v="0.41095890410958902"/>
  </r>
  <r>
    <s v="INV10430"/>
    <d v="2026-01-17T00:00:00"/>
    <s v="January"/>
    <x v="93"/>
    <s v="P003"/>
    <s v="Premium Shirt"/>
    <s v="Shirts"/>
    <n v="2"/>
    <n v="1250"/>
    <n v="20"/>
    <n v="2480"/>
    <n v="1520"/>
    <n v="960"/>
    <s v="Neha"/>
    <s v="Main Store"/>
    <s v="Indore"/>
    <s v="Credit"/>
    <n v="0.38709677419354799"/>
  </r>
  <r>
    <s v="INV10431"/>
    <d v="2026-04-06T00:00:00"/>
    <s v="April"/>
    <x v="76"/>
    <s v="P008"/>
    <s v="Cotton Trousers"/>
    <s v="Trousers"/>
    <n v="1"/>
    <n v="950"/>
    <n v="20"/>
    <n v="930"/>
    <n v="570"/>
    <n v="360"/>
    <s v="Amit"/>
    <s v="Main Store"/>
    <s v="Bhopal"/>
    <s v="Card"/>
    <n v="0.38709677419354799"/>
  </r>
  <r>
    <s v="INV10432"/>
    <d v="2026-03-27T00:00:00"/>
    <s v="March"/>
    <x v="30"/>
    <s v="P004"/>
    <s v="Basic T-Shirt"/>
    <s v="T-Shirts"/>
    <n v="2"/>
    <n v="550"/>
    <n v="50"/>
    <n v="1050"/>
    <n v="600"/>
    <n v="450"/>
    <s v="Amit"/>
    <s v="Main Store"/>
    <s v="Indore"/>
    <s v="Card"/>
    <n v="0.42857142857142899"/>
  </r>
  <r>
    <s v="INV10433"/>
    <d v="2026-06-20T00:00:00"/>
    <s v="June"/>
    <x v="40"/>
    <s v="P012"/>
    <s v="Kurta"/>
    <s v="Ethnic Wear"/>
    <n v="3"/>
    <n v="900"/>
    <n v="0"/>
    <n v="2700"/>
    <n v="1620"/>
    <n v="1080"/>
    <s v="Rohit"/>
    <s v="City Store"/>
    <s v="Indore"/>
    <s v="Cash"/>
    <n v="0.4"/>
  </r>
  <r>
    <s v="INV10434"/>
    <d v="2026-04-03T00:00:00"/>
    <s v="April"/>
    <x v="90"/>
    <s v="P011"/>
    <s v="Sweatshirt"/>
    <s v="Winter Wear"/>
    <n v="1"/>
    <n v="1150"/>
    <n v="0"/>
    <n v="1150"/>
    <n v="700"/>
    <n v="450"/>
    <s v="Priya"/>
    <s v="Main Store"/>
    <s v="Jabalpur"/>
    <s v="UPI"/>
    <n v="0.39130434782608697"/>
  </r>
  <r>
    <s v="INV10435"/>
    <d v="2026-02-03T00:00:00"/>
    <s v="February"/>
    <x v="64"/>
    <s v="P009"/>
    <s v="Formal Trousers"/>
    <s v="Trousers"/>
    <n v="1"/>
    <n v="1200"/>
    <n v="100"/>
    <n v="1100"/>
    <n v="730"/>
    <n v="370"/>
    <s v="Amit"/>
    <s v="City Store"/>
    <s v="Jabalpur"/>
    <s v="Card"/>
    <n v="0.33636363636363598"/>
  </r>
  <r>
    <s v="INV10436"/>
    <d v="2026-04-04T00:00:00"/>
    <s v="April"/>
    <x v="51"/>
    <s v="P001"/>
    <s v="Formal Shirt"/>
    <s v="Shirts"/>
    <n v="2"/>
    <n v="850"/>
    <n v="0"/>
    <n v="1700"/>
    <n v="1040"/>
    <n v="660"/>
    <s v="Neha"/>
    <s v="Main Store"/>
    <s v="Bhopal"/>
    <s v="Cash"/>
    <n v="0.38823529411764701"/>
  </r>
  <r>
    <s v="INV10437"/>
    <d v="2026-04-03T00:00:00"/>
    <s v="April"/>
    <x v="112"/>
    <s v="P014"/>
    <s v="Kids Shirt"/>
    <s v="Kids Wear"/>
    <n v="2"/>
    <n v="600"/>
    <n v="100"/>
    <n v="1100"/>
    <n v="700"/>
    <n v="400"/>
    <s v="Sandeep"/>
    <s v="Main Store"/>
    <s v="Indore"/>
    <s v="Cash"/>
    <n v="0.36363636363636398"/>
  </r>
  <r>
    <s v="INV10438"/>
    <d v="2026-05-28T00:00:00"/>
    <s v="May"/>
    <x v="110"/>
    <s v="P002"/>
    <s v="Casual Shirt"/>
    <s v="Shirts"/>
    <n v="3"/>
    <n v="700"/>
    <n v="75"/>
    <n v="2025"/>
    <n v="1230"/>
    <n v="795"/>
    <s v="Rohit"/>
    <s v="Main Store"/>
    <s v="Bhopal"/>
    <s v="Card"/>
    <n v="0.39259259259259299"/>
  </r>
  <r>
    <s v="INV10439"/>
    <d v="2026-04-08T00:00:00"/>
    <s v="April"/>
    <x v="71"/>
    <s v="P005"/>
    <s v="Polo T-Shirt"/>
    <s v="T-Shirts"/>
    <n v="1"/>
    <n v="750"/>
    <n v="0"/>
    <n v="750"/>
    <n v="430"/>
    <n v="320"/>
    <s v="Sandeep"/>
    <s v="Main Store"/>
    <s v="Jabalpur"/>
    <s v="UPI"/>
    <n v="0.42666666666666703"/>
  </r>
  <r>
    <s v="INV10440"/>
    <d v="2026-03-17T00:00:00"/>
    <s v="March"/>
    <x v="61"/>
    <s v="P011"/>
    <s v="Sweatshirt"/>
    <s v="Winter Wear"/>
    <n v="2"/>
    <n v="1150"/>
    <n v="20"/>
    <n v="2280"/>
    <n v="1400"/>
    <n v="880"/>
    <s v="Neha"/>
    <s v="Main Store"/>
    <s v="Jabalpur"/>
    <s v="UPI"/>
    <n v="0.38596491228070201"/>
  </r>
  <r>
    <s v="INV10441"/>
    <d v="2026-05-13T00:00:00"/>
    <s v="May"/>
    <x v="2"/>
    <s v="P015"/>
    <s v="Kids Jeans"/>
    <s v="Kids Wear"/>
    <n v="3"/>
    <n v="800"/>
    <n v="75"/>
    <n v="2325"/>
    <n v="1410"/>
    <n v="915"/>
    <s v="Priya"/>
    <s v="Main Store"/>
    <s v="Indore"/>
    <s v="Card"/>
    <n v="0.39354838709677398"/>
  </r>
  <r>
    <s v="INV10442"/>
    <d v="2026-02-10T00:00:00"/>
    <s v="February"/>
    <x v="27"/>
    <s v="P002"/>
    <s v="Casual Shirt"/>
    <s v="Shirts"/>
    <n v="1"/>
    <n v="700"/>
    <n v="20"/>
    <n v="680"/>
    <n v="410"/>
    <n v="270"/>
    <s v="Neha"/>
    <s v="City Store"/>
    <s v="Bhopal"/>
    <s v="UPI"/>
    <n v="0.39705882352941202"/>
  </r>
  <r>
    <s v="INV10443"/>
    <d v="2026-01-15T00:00:00"/>
    <s v="January"/>
    <x v="65"/>
    <s v="P014"/>
    <s v="Kids Shirt"/>
    <s v="Kids Wear"/>
    <n v="1"/>
    <n v="600"/>
    <n v="0"/>
    <n v="600"/>
    <n v="350"/>
    <n v="250"/>
    <s v="Sandeep"/>
    <s v="Main Store"/>
    <s v="Bhopal"/>
    <s v="UPI"/>
    <n v="0.41666666666666702"/>
  </r>
  <r>
    <s v="INV10444"/>
    <d v="2026-08-14T00:00:00"/>
    <s v="August"/>
    <x v="31"/>
    <s v="P011"/>
    <s v="Sweatshirt"/>
    <s v="Winter Wear"/>
    <n v="2"/>
    <n v="1150"/>
    <n v="0"/>
    <n v="2300"/>
    <n v="1400"/>
    <n v="900"/>
    <s v="Rohit"/>
    <s v="City Store"/>
    <s v="Bhopal"/>
    <s v="Cash"/>
    <n v="0.39130434782608697"/>
  </r>
  <r>
    <s v="INV10445"/>
    <d v="2026-01-23T00:00:00"/>
    <s v="January"/>
    <x v="67"/>
    <s v="P001"/>
    <s v="Formal Shirt"/>
    <s v="Shirts"/>
    <n v="1"/>
    <n v="850"/>
    <n v="0"/>
    <n v="850"/>
    <n v="520"/>
    <n v="330"/>
    <s v="Sandeep"/>
    <s v="Main Store"/>
    <s v="Indore"/>
    <s v="Cash"/>
    <n v="0.38823529411764701"/>
  </r>
  <r>
    <s v="INV10446"/>
    <d v="2026-02-23T00:00:00"/>
    <s v="February"/>
    <x v="22"/>
    <s v="P009"/>
    <s v="Formal Trousers"/>
    <s v="Trousers"/>
    <n v="1"/>
    <n v="1200"/>
    <n v="20"/>
    <n v="1180"/>
    <n v="730"/>
    <n v="450"/>
    <s v="Sandeep"/>
    <s v="Main Store"/>
    <s v="Indore"/>
    <s v="UPI"/>
    <n v="0.38135593220338998"/>
  </r>
  <r>
    <s v="INV10447"/>
    <d v="2026-01-03T00:00:00"/>
    <s v="January"/>
    <x v="36"/>
    <s v="P007"/>
    <s v="Regular Jeans"/>
    <s v="Jeans"/>
    <n v="1"/>
    <n v="1100"/>
    <n v="0"/>
    <n v="1100"/>
    <n v="680"/>
    <n v="420"/>
    <s v="Priya"/>
    <s v="City Store"/>
    <s v="Indore"/>
    <s v="Card"/>
    <n v="0.381818181818182"/>
  </r>
  <r>
    <s v="INV10448"/>
    <d v="2026-03-28T00:00:00"/>
    <s v="March"/>
    <x v="85"/>
    <s v="P004"/>
    <s v="Basic T-Shirt"/>
    <s v="T-Shirts"/>
    <n v="2"/>
    <n v="550"/>
    <n v="75"/>
    <n v="1025"/>
    <n v="600"/>
    <n v="425"/>
    <s v="Rohit"/>
    <s v="City Store"/>
    <s v="Indore"/>
    <s v="Card"/>
    <n v="0.41463414634146301"/>
  </r>
  <r>
    <s v="INV10449"/>
    <d v="2026-08-28T00:00:00"/>
    <s v="August"/>
    <x v="56"/>
    <s v="P011"/>
    <s v="Sweatshirt"/>
    <s v="Winter Wear"/>
    <n v="1"/>
    <n v="1150"/>
    <n v="0"/>
    <n v="1150"/>
    <n v="700"/>
    <n v="450"/>
    <s v="Priya"/>
    <s v="Main Store"/>
    <s v="Indore"/>
    <s v="UPI"/>
    <n v="0.39130434782608697"/>
  </r>
  <r>
    <s v="INV10450"/>
    <d v="2026-01-31T00:00:00"/>
    <s v="January"/>
    <x v="14"/>
    <s v="P005"/>
    <s v="Polo T-Shirt"/>
    <s v="T-Shirts"/>
    <n v="1"/>
    <n v="750"/>
    <n v="20"/>
    <n v="730"/>
    <n v="430"/>
    <n v="300"/>
    <s v="Rohit"/>
    <s v="City Store"/>
    <s v="Bhopal"/>
    <s v="UPI"/>
    <n v="0.41095890410958902"/>
  </r>
  <r>
    <s v="INV10451"/>
    <d v="2026-01-10T00:00:00"/>
    <s v="January"/>
    <x v="66"/>
    <s v="P014"/>
    <s v="Kids Shirt"/>
    <s v="Kids Wear"/>
    <n v="2"/>
    <n v="600"/>
    <n v="100"/>
    <n v="1100"/>
    <n v="700"/>
    <n v="400"/>
    <s v="Amit"/>
    <s v="Main Store"/>
    <s v="Bhopal"/>
    <s v="Card"/>
    <n v="0.36363636363636398"/>
  </r>
  <r>
    <s v="INV10452"/>
    <d v="2026-07-10T00:00:00"/>
    <s v="July"/>
    <x v="9"/>
    <s v="P005"/>
    <s v="Polo T-Shirt"/>
    <s v="T-Shirts"/>
    <n v="2"/>
    <n v="750"/>
    <n v="50"/>
    <n v="1450"/>
    <n v="860"/>
    <n v="590"/>
    <s v="Neha"/>
    <s v="City Store"/>
    <s v="Jabalpur"/>
    <s v="Card"/>
    <n v="0.40689655172413802"/>
  </r>
  <r>
    <s v="INV10453"/>
    <d v="2026-06-16T00:00:00"/>
    <s v="June"/>
    <x v="22"/>
    <s v="P008"/>
    <s v="Cotton Trousers"/>
    <s v="Trousers"/>
    <n v="1"/>
    <n v="950"/>
    <n v="0"/>
    <n v="950"/>
    <n v="570"/>
    <n v="380"/>
    <s v="Amit"/>
    <s v="Main Store"/>
    <s v="Bhopal"/>
    <s v="UPI"/>
    <n v="0.4"/>
  </r>
  <r>
    <s v="INV10454"/>
    <d v="2026-06-18T00:00:00"/>
    <s v="June"/>
    <x v="31"/>
    <s v="P013"/>
    <s v="Kurta Set"/>
    <s v="Ethnic Wear"/>
    <n v="3"/>
    <n v="1500"/>
    <n v="0"/>
    <n v="4500"/>
    <n v="2760"/>
    <n v="1740"/>
    <s v="Amit"/>
    <s v="Main Store"/>
    <s v="Indore"/>
    <s v="UPI"/>
    <n v="0.38666666666666699"/>
  </r>
  <r>
    <s v="INV10455"/>
    <d v="2026-02-18T00:00:00"/>
    <s v="February"/>
    <x v="115"/>
    <s v="P004"/>
    <s v="Basic T-Shirt"/>
    <s v="T-Shirts"/>
    <n v="1"/>
    <n v="550"/>
    <n v="0"/>
    <n v="550"/>
    <n v="300"/>
    <n v="250"/>
    <s v="Sandeep"/>
    <s v="Main Store"/>
    <s v="Jabalpur"/>
    <s v="UPI"/>
    <n v="0.45454545454545398"/>
  </r>
  <r>
    <s v="INV10456"/>
    <d v="2026-05-08T00:00:00"/>
    <s v="May"/>
    <x v="37"/>
    <s v="P010"/>
    <s v="Hoodie"/>
    <s v="Winter Wear"/>
    <n v="1"/>
    <n v="1450"/>
    <n v="50"/>
    <n v="1400"/>
    <n v="900"/>
    <n v="500"/>
    <s v="Rohit"/>
    <s v="Main Store"/>
    <s v="Bhopal"/>
    <s v="Card"/>
    <n v="0.35714285714285698"/>
  </r>
  <r>
    <s v="INV10457"/>
    <d v="2026-01-14T00:00:00"/>
    <s v="January"/>
    <x v="41"/>
    <s v="P003"/>
    <s v="Premium Shirt"/>
    <s v="Shirts"/>
    <n v="1"/>
    <n v="1250"/>
    <n v="50"/>
    <n v="1200"/>
    <n v="760"/>
    <n v="440"/>
    <s v="Sandeep"/>
    <s v="Main Store"/>
    <s v="Bhopal"/>
    <s v="Cash"/>
    <n v="0.36666666666666697"/>
  </r>
  <r>
    <s v="INV10458"/>
    <d v="2026-03-24T00:00:00"/>
    <s v="March"/>
    <x v="45"/>
    <s v="P006"/>
    <s v="Slim Jeans"/>
    <s v="Jeans"/>
    <n v="1"/>
    <n v="1350"/>
    <n v="100"/>
    <n v="1250"/>
    <n v="850"/>
    <n v="400"/>
    <s v="Amit"/>
    <s v="Main Store"/>
    <s v="Bhopal"/>
    <s v="Cash"/>
    <n v="0.32"/>
  </r>
  <r>
    <s v="INV10459"/>
    <d v="2026-08-15T00:00:00"/>
    <s v="August"/>
    <x v="54"/>
    <s v="P008"/>
    <s v="Cotton Trousers"/>
    <s v="Trousers"/>
    <n v="1"/>
    <n v="950"/>
    <n v="75"/>
    <n v="875"/>
    <n v="570"/>
    <n v="305"/>
    <s v="Priya"/>
    <s v="City Store"/>
    <s v="Bhopal"/>
    <s v="Card"/>
    <n v="0.34857142857142898"/>
  </r>
  <r>
    <s v="INV10460"/>
    <d v="2026-05-31T00:00:00"/>
    <s v="May"/>
    <x v="77"/>
    <s v="P009"/>
    <s v="Formal Trousers"/>
    <s v="Trousers"/>
    <n v="1"/>
    <n v="1200"/>
    <n v="0"/>
    <n v="1200"/>
    <n v="730"/>
    <n v="470"/>
    <s v="Neha"/>
    <s v="Main Store"/>
    <s v="Jabalpur"/>
    <s v="UPI"/>
    <n v="0.391666666666667"/>
  </r>
  <r>
    <s v="INV10461"/>
    <d v="2026-01-16T00:00:00"/>
    <s v="January"/>
    <x v="117"/>
    <s v="P014"/>
    <s v="Kids Shirt"/>
    <s v="Kids Wear"/>
    <n v="2"/>
    <n v="600"/>
    <n v="20"/>
    <n v="1180"/>
    <n v="700"/>
    <n v="480"/>
    <s v="Neha"/>
    <s v="Main Store"/>
    <s v="Indore"/>
    <s v="UPI"/>
    <n v="0.40677966101694901"/>
  </r>
  <r>
    <s v="INV10462"/>
    <d v="2026-05-06T00:00:00"/>
    <s v="May"/>
    <x v="88"/>
    <s v="P008"/>
    <s v="Cotton Trousers"/>
    <s v="Trousers"/>
    <n v="1"/>
    <n v="950"/>
    <n v="20"/>
    <n v="930"/>
    <n v="570"/>
    <n v="360"/>
    <s v="Neha"/>
    <s v="Main Store"/>
    <s v="Bhopal"/>
    <s v="UPI"/>
    <n v="0.38709677419354799"/>
  </r>
  <r>
    <s v="INV10463"/>
    <d v="2026-03-19T00:00:00"/>
    <s v="March"/>
    <x v="39"/>
    <s v="P006"/>
    <s v="Slim Jeans"/>
    <s v="Jeans"/>
    <n v="1"/>
    <n v="1350"/>
    <n v="50"/>
    <n v="1300"/>
    <n v="850"/>
    <n v="450"/>
    <s v="Neha"/>
    <s v="Main Store"/>
    <s v="Indore"/>
    <s v="UPI"/>
    <n v="0.34615384615384598"/>
  </r>
  <r>
    <s v="INV10464"/>
    <d v="2026-07-13T00:00:00"/>
    <s v="July"/>
    <x v="15"/>
    <s v="P009"/>
    <s v="Formal Trousers"/>
    <s v="Trousers"/>
    <n v="2"/>
    <n v="1200"/>
    <n v="0"/>
    <n v="2400"/>
    <n v="1460"/>
    <n v="940"/>
    <s v="Priya"/>
    <s v="Main Store"/>
    <s v="Jabalpur"/>
    <s v="Card"/>
    <n v="0.391666666666667"/>
  </r>
  <r>
    <s v="INV10465"/>
    <d v="2026-05-27T00:00:00"/>
    <s v="May"/>
    <x v="82"/>
    <s v="P007"/>
    <s v="Regular Jeans"/>
    <s v="Jeans"/>
    <n v="2"/>
    <n v="1100"/>
    <n v="0"/>
    <n v="2200"/>
    <n v="1360"/>
    <n v="840"/>
    <s v="Sandeep"/>
    <s v="City Store"/>
    <s v="Jabalpur"/>
    <s v="UPI"/>
    <n v="0.381818181818182"/>
  </r>
  <r>
    <s v="INV10466"/>
    <d v="2026-08-06T00:00:00"/>
    <s v="August"/>
    <x v="38"/>
    <s v="P015"/>
    <s v="Kids Jeans"/>
    <s v="Kids Wear"/>
    <n v="1"/>
    <n v="800"/>
    <n v="100"/>
    <n v="700"/>
    <n v="470"/>
    <n v="230"/>
    <s v="Sandeep"/>
    <s v="City Store"/>
    <s v="Jabalpur"/>
    <s v="UPI"/>
    <n v="0.32857142857142901"/>
  </r>
  <r>
    <s v="INV10467"/>
    <d v="2026-07-16T00:00:00"/>
    <s v="July"/>
    <x v="107"/>
    <s v="P010"/>
    <s v="Hoodie"/>
    <s v="Winter Wear"/>
    <n v="1"/>
    <n v="1450"/>
    <n v="20"/>
    <n v="1430"/>
    <n v="900"/>
    <n v="530"/>
    <s v="Rohit"/>
    <s v="City Store"/>
    <s v="Jabalpur"/>
    <s v="UPI"/>
    <n v="0.37062937062937101"/>
  </r>
  <r>
    <s v="INV10468"/>
    <d v="2026-01-10T00:00:00"/>
    <s v="January"/>
    <x v="23"/>
    <s v="P001"/>
    <s v="Formal Shirt"/>
    <s v="Shirts"/>
    <n v="1"/>
    <n v="850"/>
    <n v="0"/>
    <n v="850"/>
    <n v="520"/>
    <n v="330"/>
    <s v="Amit"/>
    <s v="Main Store"/>
    <s v="Indore"/>
    <s v="UPI"/>
    <n v="0.38823529411764701"/>
  </r>
  <r>
    <s v="INV10469"/>
    <d v="2026-07-02T00:00:00"/>
    <s v="July"/>
    <x v="87"/>
    <s v="P010"/>
    <s v="Hoodie"/>
    <s v="Winter Wear"/>
    <n v="2"/>
    <n v="1450"/>
    <n v="0"/>
    <n v="2900"/>
    <n v="1800"/>
    <n v="1100"/>
    <s v="Neha"/>
    <s v="Main Store"/>
    <s v="Bhopal"/>
    <s v="Credit"/>
    <n v="0.37931034482758602"/>
  </r>
  <r>
    <s v="INV10470"/>
    <d v="2026-05-27T00:00:00"/>
    <s v="May"/>
    <x v="112"/>
    <s v="P011"/>
    <s v="Sweatshirt"/>
    <s v="Winter Wear"/>
    <n v="1"/>
    <n v="1150"/>
    <n v="50"/>
    <n v="1100"/>
    <n v="700"/>
    <n v="400"/>
    <s v="Neha"/>
    <s v="Main Store"/>
    <s v="Indore"/>
    <s v="UPI"/>
    <n v="0.36363636363636398"/>
  </r>
  <r>
    <s v="INV10471"/>
    <d v="2026-01-27T00:00:00"/>
    <s v="January"/>
    <x v="46"/>
    <s v="P002"/>
    <s v="Casual Shirt"/>
    <s v="Shirts"/>
    <n v="2"/>
    <n v="700"/>
    <n v="20"/>
    <n v="1380"/>
    <n v="820"/>
    <n v="560"/>
    <s v="Amit"/>
    <s v="Main Store"/>
    <s v="Indore"/>
    <s v="UPI"/>
    <n v="0.405797101449275"/>
  </r>
  <r>
    <s v="INV10472"/>
    <d v="2026-07-15T00:00:00"/>
    <s v="July"/>
    <x v="113"/>
    <s v="P004"/>
    <s v="Basic T-Shirt"/>
    <s v="T-Shirts"/>
    <n v="1"/>
    <n v="550"/>
    <n v="0"/>
    <n v="550"/>
    <n v="300"/>
    <n v="250"/>
    <s v="Neha"/>
    <s v="City Store"/>
    <s v="Jabalpur"/>
    <s v="UPI"/>
    <n v="0.45454545454545398"/>
  </r>
  <r>
    <s v="INV10473"/>
    <d v="2026-05-29T00:00:00"/>
    <s v="May"/>
    <x v="71"/>
    <s v="P015"/>
    <s v="Kids Jeans"/>
    <s v="Kids Wear"/>
    <n v="1"/>
    <n v="800"/>
    <n v="100"/>
    <n v="700"/>
    <n v="470"/>
    <n v="230"/>
    <s v="Priya"/>
    <s v="City Store"/>
    <s v="Indore"/>
    <s v="Cash"/>
    <n v="0.32857142857142901"/>
  </r>
  <r>
    <s v="INV10474"/>
    <d v="2026-01-07T00:00:00"/>
    <s v="January"/>
    <x v="55"/>
    <s v="P012"/>
    <s v="Kurta"/>
    <s v="Ethnic Wear"/>
    <n v="2"/>
    <n v="900"/>
    <n v="20"/>
    <n v="1780"/>
    <n v="1080"/>
    <n v="700"/>
    <s v="Amit"/>
    <s v="City Store"/>
    <s v="Bhopal"/>
    <s v="Credit"/>
    <n v="0.39325842696629199"/>
  </r>
  <r>
    <s v="INV10475"/>
    <d v="2026-06-09T00:00:00"/>
    <s v="June"/>
    <x v="32"/>
    <s v="P004"/>
    <s v="Basic T-Shirt"/>
    <s v="T-Shirts"/>
    <n v="2"/>
    <n v="550"/>
    <n v="50"/>
    <n v="1050"/>
    <n v="600"/>
    <n v="450"/>
    <s v="Amit"/>
    <s v="City Store"/>
    <s v="Indore"/>
    <s v="Card"/>
    <n v="0.42857142857142899"/>
  </r>
  <r>
    <s v="INV10476"/>
    <d v="2026-05-07T00:00:00"/>
    <s v="May"/>
    <x v="109"/>
    <s v="P002"/>
    <s v="Casual Shirt"/>
    <s v="Shirts"/>
    <n v="1"/>
    <n v="700"/>
    <n v="50"/>
    <n v="650"/>
    <n v="410"/>
    <n v="240"/>
    <s v="Priya"/>
    <s v="Main Store"/>
    <s v="Bhopal"/>
    <s v="Card"/>
    <n v="0.36923076923076897"/>
  </r>
  <r>
    <s v="INV10477"/>
    <d v="2026-04-02T00:00:00"/>
    <s v="April"/>
    <x v="34"/>
    <s v="P011"/>
    <s v="Sweatshirt"/>
    <s v="Winter Wear"/>
    <n v="2"/>
    <n v="1150"/>
    <n v="0"/>
    <n v="2300"/>
    <n v="1400"/>
    <n v="900"/>
    <s v="Neha"/>
    <s v="Main Store"/>
    <s v="Jabalpur"/>
    <s v="UPI"/>
    <n v="0.39130434782608697"/>
  </r>
  <r>
    <s v="INV10478"/>
    <d v="2026-05-31T00:00:00"/>
    <s v="May"/>
    <x v="29"/>
    <s v="P004"/>
    <s v="Basic T-Shirt"/>
    <s v="T-Shirts"/>
    <n v="1"/>
    <n v="550"/>
    <n v="50"/>
    <n v="500"/>
    <n v="300"/>
    <n v="200"/>
    <s v="Priya"/>
    <s v="Main Store"/>
    <s v="Bhopal"/>
    <s v="UPI"/>
    <n v="0.4"/>
  </r>
  <r>
    <s v="INV10479"/>
    <d v="2026-02-09T00:00:00"/>
    <s v="February"/>
    <x v="69"/>
    <s v="P014"/>
    <s v="Kids Shirt"/>
    <s v="Kids Wear"/>
    <n v="1"/>
    <n v="600"/>
    <n v="0"/>
    <n v="600"/>
    <n v="350"/>
    <n v="250"/>
    <s v="Sandeep"/>
    <s v="City Store"/>
    <s v="Bhopal"/>
    <s v="UPI"/>
    <n v="0.41666666666666702"/>
  </r>
  <r>
    <s v="INV10480"/>
    <d v="2026-02-17T00:00:00"/>
    <s v="February"/>
    <x v="117"/>
    <s v="P001"/>
    <s v="Formal Shirt"/>
    <s v="Shirts"/>
    <n v="2"/>
    <n v="850"/>
    <n v="0"/>
    <n v="1700"/>
    <n v="1040"/>
    <n v="660"/>
    <s v="Rohit"/>
    <s v="City Store"/>
    <s v="Indore"/>
    <s v="UPI"/>
    <n v="0.38823529411764701"/>
  </r>
  <r>
    <s v="INV10481"/>
    <d v="2026-06-23T00:00:00"/>
    <s v="June"/>
    <x v="4"/>
    <s v="P004"/>
    <s v="Basic T-Shirt"/>
    <s v="T-Shirts"/>
    <n v="3"/>
    <n v="550"/>
    <n v="20"/>
    <n v="1630"/>
    <n v="900"/>
    <n v="730"/>
    <s v="Rohit"/>
    <s v="City Store"/>
    <s v="Jabalpur"/>
    <s v="UPI"/>
    <n v="0.44785276073619601"/>
  </r>
  <r>
    <s v="INV10482"/>
    <d v="2026-08-22T00:00:00"/>
    <s v="August"/>
    <x v="62"/>
    <s v="P011"/>
    <s v="Sweatshirt"/>
    <s v="Winter Wear"/>
    <n v="1"/>
    <n v="1150"/>
    <n v="0"/>
    <n v="1150"/>
    <n v="700"/>
    <n v="450"/>
    <s v="Amit"/>
    <s v="Main Store"/>
    <s v="Indore"/>
    <s v="Card"/>
    <n v="0.39130434782608697"/>
  </r>
  <r>
    <s v="INV10483"/>
    <d v="2026-07-01T00:00:00"/>
    <s v="July"/>
    <x v="59"/>
    <s v="P007"/>
    <s v="Regular Jeans"/>
    <s v="Jeans"/>
    <n v="1"/>
    <n v="1100"/>
    <n v="20"/>
    <n v="1080"/>
    <n v="680"/>
    <n v="400"/>
    <s v="Amit"/>
    <s v="City Store"/>
    <s v="Bhopal"/>
    <s v="Cash"/>
    <n v="0.37037037037037002"/>
  </r>
  <r>
    <s v="INV10484"/>
    <d v="2026-08-18T00:00:00"/>
    <s v="August"/>
    <x v="84"/>
    <s v="P013"/>
    <s v="Kurta Set"/>
    <s v="Ethnic Wear"/>
    <n v="3"/>
    <n v="1500"/>
    <n v="50"/>
    <n v="4450"/>
    <n v="2760"/>
    <n v="1690"/>
    <s v="Priya"/>
    <s v="City Store"/>
    <s v="Bhopal"/>
    <s v="Card"/>
    <n v="0.37977528089887602"/>
  </r>
  <r>
    <s v="INV10485"/>
    <d v="2026-05-19T00:00:00"/>
    <s v="May"/>
    <x v="85"/>
    <s v="P012"/>
    <s v="Kurta"/>
    <s v="Ethnic Wear"/>
    <n v="1"/>
    <n v="900"/>
    <n v="20"/>
    <n v="880"/>
    <n v="540"/>
    <n v="340"/>
    <s v="Amit"/>
    <s v="Main Store"/>
    <s v="Indore"/>
    <s v="Cash"/>
    <n v="0.38636363636363602"/>
  </r>
  <r>
    <s v="INV10486"/>
    <d v="2026-08-08T00:00:00"/>
    <s v="August"/>
    <x v="118"/>
    <s v="P013"/>
    <s v="Kurta Set"/>
    <s v="Ethnic Wear"/>
    <n v="1"/>
    <n v="1500"/>
    <n v="0"/>
    <n v="1500"/>
    <n v="920"/>
    <n v="580"/>
    <s v="Amit"/>
    <s v="Main Store"/>
    <s v="Bhopal"/>
    <s v="UPI"/>
    <n v="0.38666666666666699"/>
  </r>
  <r>
    <s v="INV10487"/>
    <d v="2026-03-26T00:00:00"/>
    <s v="March"/>
    <x v="27"/>
    <s v="P002"/>
    <s v="Casual Shirt"/>
    <s v="Shirts"/>
    <n v="1"/>
    <n v="700"/>
    <n v="100"/>
    <n v="600"/>
    <n v="410"/>
    <n v="190"/>
    <s v="Sandeep"/>
    <s v="Main Store"/>
    <s v="Jabalpur"/>
    <s v="UPI"/>
    <n v="0.31666666666666698"/>
  </r>
  <r>
    <s v="INV10488"/>
    <d v="2026-02-16T00:00:00"/>
    <s v="February"/>
    <x v="112"/>
    <s v="P005"/>
    <s v="Polo T-Shirt"/>
    <s v="T-Shirts"/>
    <n v="2"/>
    <n v="750"/>
    <n v="50"/>
    <n v="1450"/>
    <n v="860"/>
    <n v="590"/>
    <s v="Neha"/>
    <s v="Main Store"/>
    <s v="Jabalpur"/>
    <s v="UPI"/>
    <n v="0.40689655172413802"/>
  </r>
  <r>
    <s v="INV10489"/>
    <d v="2026-01-23T00:00:00"/>
    <s v="January"/>
    <x v="109"/>
    <s v="P012"/>
    <s v="Kurta"/>
    <s v="Ethnic Wear"/>
    <n v="1"/>
    <n v="900"/>
    <n v="20"/>
    <n v="880"/>
    <n v="540"/>
    <n v="340"/>
    <s v="Sandeep"/>
    <s v="Main Store"/>
    <s v="Bhopal"/>
    <s v="UPI"/>
    <n v="0.38636363636363602"/>
  </r>
  <r>
    <s v="INV10490"/>
    <d v="2026-02-01T00:00:00"/>
    <s v="February"/>
    <x v="105"/>
    <s v="P008"/>
    <s v="Cotton Trousers"/>
    <s v="Trousers"/>
    <n v="2"/>
    <n v="950"/>
    <n v="0"/>
    <n v="1900"/>
    <n v="1140"/>
    <n v="760"/>
    <s v="Sandeep"/>
    <s v="City Store"/>
    <s v="Indore"/>
    <s v="UPI"/>
    <n v="0.4"/>
  </r>
  <r>
    <s v="INV10491"/>
    <d v="2026-04-23T00:00:00"/>
    <s v="April"/>
    <x v="40"/>
    <s v="P010"/>
    <s v="Hoodie"/>
    <s v="Winter Wear"/>
    <n v="1"/>
    <n v="1450"/>
    <n v="0"/>
    <n v="1450"/>
    <n v="900"/>
    <n v="550"/>
    <s v="Sandeep"/>
    <s v="Main Store"/>
    <s v="Indore"/>
    <s v="Cash"/>
    <n v="0.37931034482758602"/>
  </r>
  <r>
    <s v="INV10492"/>
    <d v="2026-01-05T00:00:00"/>
    <s v="January"/>
    <x v="14"/>
    <s v="P003"/>
    <s v="Premium Shirt"/>
    <s v="Shirts"/>
    <n v="1"/>
    <n v="1250"/>
    <n v="20"/>
    <n v="1230"/>
    <n v="760"/>
    <n v="470"/>
    <s v="Amit"/>
    <s v="City Store"/>
    <s v="Bhopal"/>
    <s v="Cash"/>
    <n v="0.38211382113821102"/>
  </r>
  <r>
    <s v="INV10493"/>
    <d v="2026-01-29T00:00:00"/>
    <s v="January"/>
    <x v="29"/>
    <s v="P014"/>
    <s v="Kids Shirt"/>
    <s v="Kids Wear"/>
    <n v="1"/>
    <n v="600"/>
    <n v="50"/>
    <n v="550"/>
    <n v="350"/>
    <n v="200"/>
    <s v="Sandeep"/>
    <s v="Main Store"/>
    <s v="Jabalpur"/>
    <s v="Card"/>
    <n v="0.36363636363636398"/>
  </r>
  <r>
    <s v="INV10494"/>
    <d v="2026-05-25T00:00:00"/>
    <s v="May"/>
    <x v="117"/>
    <s v="P004"/>
    <s v="Basic T-Shirt"/>
    <s v="T-Shirts"/>
    <n v="1"/>
    <n v="550"/>
    <n v="0"/>
    <n v="550"/>
    <n v="300"/>
    <n v="250"/>
    <s v="Sandeep"/>
    <s v="City Store"/>
    <s v="Jabalpur"/>
    <s v="Card"/>
    <n v="0.45454545454545398"/>
  </r>
  <r>
    <s v="INV10495"/>
    <d v="2026-06-07T00:00:00"/>
    <s v="June"/>
    <x v="62"/>
    <s v="P002"/>
    <s v="Casual Shirt"/>
    <s v="Shirts"/>
    <n v="1"/>
    <n v="700"/>
    <n v="20"/>
    <n v="680"/>
    <n v="410"/>
    <n v="270"/>
    <s v="Neha"/>
    <s v="City Store"/>
    <s v="Indore"/>
    <s v="Card"/>
    <n v="0.39705882352941202"/>
  </r>
  <r>
    <s v="INV10496"/>
    <d v="2026-06-13T00:00:00"/>
    <s v="June"/>
    <x v="41"/>
    <s v="P010"/>
    <s v="Hoodie"/>
    <s v="Winter Wear"/>
    <n v="1"/>
    <n v="1450"/>
    <n v="0"/>
    <n v="1450"/>
    <n v="900"/>
    <n v="550"/>
    <s v="Amit"/>
    <s v="City Store"/>
    <s v="Bhopal"/>
    <s v="UPI"/>
    <n v="0.37931034482758602"/>
  </r>
  <r>
    <s v="INV10497"/>
    <d v="2026-04-28T00:00:00"/>
    <s v="April"/>
    <x v="80"/>
    <s v="P007"/>
    <s v="Regular Jeans"/>
    <s v="Jeans"/>
    <n v="1"/>
    <n v="1100"/>
    <n v="0"/>
    <n v="1100"/>
    <n v="680"/>
    <n v="420"/>
    <s v="Priya"/>
    <s v="City Store"/>
    <s v="Bhopal"/>
    <s v="Cash"/>
    <n v="0.381818181818182"/>
  </r>
  <r>
    <s v="INV10498"/>
    <d v="2026-07-14T00:00:00"/>
    <s v="July"/>
    <x v="83"/>
    <s v="P015"/>
    <s v="Kids Jeans"/>
    <s v="Kids Wear"/>
    <n v="2"/>
    <n v="800"/>
    <n v="75"/>
    <n v="1525"/>
    <n v="940"/>
    <n v="585"/>
    <s v="Rohit"/>
    <s v="Main Store"/>
    <s v="Jabalpur"/>
    <s v="Cash"/>
    <n v="0.38360655737704902"/>
  </r>
  <r>
    <s v="INV10499"/>
    <d v="2026-04-03T00:00:00"/>
    <s v="April"/>
    <x v="12"/>
    <s v="P003"/>
    <s v="Premium Shirt"/>
    <s v="Shirts"/>
    <n v="1"/>
    <n v="1250"/>
    <n v="20"/>
    <n v="1230"/>
    <n v="760"/>
    <n v="470"/>
    <s v="Sandeep"/>
    <s v="City Store"/>
    <s v="Jabalpur"/>
    <s v="Cash"/>
    <n v="0.38211382113821102"/>
  </r>
  <r>
    <s v="INV10500"/>
    <d v="2026-01-26T00:00:00"/>
    <s v="January"/>
    <x v="34"/>
    <s v="P013"/>
    <s v="Kurta Set"/>
    <s v="Ethnic Wear"/>
    <n v="1"/>
    <n v="1500"/>
    <n v="0"/>
    <n v="1500"/>
    <n v="920"/>
    <n v="580"/>
    <s v="Sandeep"/>
    <s v="Main Store"/>
    <s v="Indore"/>
    <s v="Card"/>
    <n v="0.38666666666666699"/>
  </r>
  <r>
    <s v="INV10501"/>
    <d v="2026-07-12T00:00:00"/>
    <s v="July"/>
    <x v="48"/>
    <s v="P007"/>
    <s v="Regular Jeans"/>
    <s v="Jeans"/>
    <n v="2"/>
    <n v="1100"/>
    <n v="100"/>
    <n v="2100"/>
    <n v="1360"/>
    <n v="740"/>
    <s v="Amit"/>
    <s v="Main Store"/>
    <s v="Jabalpur"/>
    <s v="Cash"/>
    <n v="0.35238095238095202"/>
  </r>
  <r>
    <s v="INV10502"/>
    <d v="2026-06-09T00:00:00"/>
    <s v="June"/>
    <x v="61"/>
    <s v="P003"/>
    <s v="Premium Shirt"/>
    <s v="Shirts"/>
    <n v="2"/>
    <n v="1250"/>
    <n v="50"/>
    <n v="2450"/>
    <n v="1520"/>
    <n v="930"/>
    <s v="Priya"/>
    <s v="City Store"/>
    <s v="Jabalpur"/>
    <s v="Card"/>
    <n v="0.37959183673469399"/>
  </r>
  <r>
    <s v="INV10503"/>
    <d v="2026-03-27T00:00:00"/>
    <s v="March"/>
    <x v="96"/>
    <s v="P009"/>
    <s v="Formal Trousers"/>
    <s v="Trousers"/>
    <n v="1"/>
    <n v="1200"/>
    <n v="75"/>
    <n v="1125"/>
    <n v="730"/>
    <n v="395"/>
    <s v="Amit"/>
    <s v="Main Store"/>
    <s v="Bhopal"/>
    <s v="UPI"/>
    <n v="0.35111111111111099"/>
  </r>
  <r>
    <s v="INV10504"/>
    <d v="2026-07-13T00:00:00"/>
    <s v="July"/>
    <x v="98"/>
    <s v="P007"/>
    <s v="Regular Jeans"/>
    <s v="Jeans"/>
    <n v="1"/>
    <n v="1100"/>
    <n v="0"/>
    <n v="1100"/>
    <n v="680"/>
    <n v="420"/>
    <s v="Sandeep"/>
    <s v="Main Store"/>
    <s v="Bhopal"/>
    <s v="UPI"/>
    <n v="0.381818181818182"/>
  </r>
  <r>
    <s v="INV10505"/>
    <d v="2026-06-28T00:00:00"/>
    <s v="June"/>
    <x v="12"/>
    <s v="P014"/>
    <s v="Kids Shirt"/>
    <s v="Kids Wear"/>
    <n v="1"/>
    <n v="600"/>
    <n v="75"/>
    <n v="525"/>
    <n v="350"/>
    <n v="175"/>
    <s v="Rohit"/>
    <s v="City Store"/>
    <s v="Indore"/>
    <s v="Cash"/>
    <n v="0.33333333333333298"/>
  </r>
  <r>
    <s v="INV10506"/>
    <d v="2026-08-08T00:00:00"/>
    <s v="August"/>
    <x v="110"/>
    <s v="P015"/>
    <s v="Kids Jeans"/>
    <s v="Kids Wear"/>
    <n v="1"/>
    <n v="800"/>
    <n v="100"/>
    <n v="700"/>
    <n v="470"/>
    <n v="230"/>
    <s v="Amit"/>
    <s v="Main Store"/>
    <s v="Jabalpur"/>
    <s v="Cash"/>
    <n v="0.32857142857142901"/>
  </r>
  <r>
    <s v="INV10507"/>
    <d v="2026-07-11T00:00:00"/>
    <s v="July"/>
    <x v="31"/>
    <s v="P013"/>
    <s v="Kurta Set"/>
    <s v="Ethnic Wear"/>
    <n v="2"/>
    <n v="1500"/>
    <n v="20"/>
    <n v="2980"/>
    <n v="1840"/>
    <n v="1140"/>
    <s v="Neha"/>
    <s v="City Store"/>
    <s v="Jabalpur"/>
    <s v="UPI"/>
    <n v="0.38255033557047002"/>
  </r>
  <r>
    <s v="INV10508"/>
    <d v="2026-02-28T00:00:00"/>
    <s v="February"/>
    <x v="105"/>
    <s v="P003"/>
    <s v="Premium Shirt"/>
    <s v="Shirts"/>
    <n v="1"/>
    <n v="1250"/>
    <n v="20"/>
    <n v="1230"/>
    <n v="760"/>
    <n v="470"/>
    <s v="Priya"/>
    <s v="Main Store"/>
    <s v="Bhopal"/>
    <s v="Cash"/>
    <n v="0.38211382113821102"/>
  </r>
  <r>
    <s v="INV10509"/>
    <d v="2026-05-10T00:00:00"/>
    <s v="May"/>
    <x v="38"/>
    <s v="P011"/>
    <s v="Sweatshirt"/>
    <s v="Winter Wear"/>
    <n v="3"/>
    <n v="1150"/>
    <n v="20"/>
    <n v="3430"/>
    <n v="2100"/>
    <n v="1330"/>
    <s v="Amit"/>
    <s v="Main Store"/>
    <s v="Bhopal"/>
    <s v="Card"/>
    <n v="0.38775510204081598"/>
  </r>
  <r>
    <s v="INV10510"/>
    <d v="2026-06-13T00:00:00"/>
    <s v="June"/>
    <x v="6"/>
    <s v="P013"/>
    <s v="Kurta Set"/>
    <s v="Ethnic Wear"/>
    <n v="1"/>
    <n v="1500"/>
    <n v="0"/>
    <n v="1500"/>
    <n v="920"/>
    <n v="580"/>
    <s v="Amit"/>
    <s v="City Store"/>
    <s v="Indore"/>
    <s v="Card"/>
    <n v="0.38666666666666699"/>
  </r>
  <r>
    <s v="INV10511"/>
    <d v="2026-07-28T00:00:00"/>
    <s v="July"/>
    <x v="65"/>
    <s v="P013"/>
    <s v="Kurta Set"/>
    <s v="Ethnic Wear"/>
    <n v="1"/>
    <n v="1500"/>
    <n v="50"/>
    <n v="1450"/>
    <n v="920"/>
    <n v="530"/>
    <s v="Sandeep"/>
    <s v="Main Store"/>
    <s v="Jabalpur"/>
    <s v="UPI"/>
    <n v="0.36551724137931002"/>
  </r>
  <r>
    <s v="INV10512"/>
    <d v="2026-06-06T00:00:00"/>
    <s v="June"/>
    <x v="85"/>
    <s v="P012"/>
    <s v="Kurta"/>
    <s v="Ethnic Wear"/>
    <n v="1"/>
    <n v="900"/>
    <n v="75"/>
    <n v="825"/>
    <n v="540"/>
    <n v="285"/>
    <s v="Amit"/>
    <s v="City Store"/>
    <s v="Bhopal"/>
    <s v="Cash"/>
    <n v="0.34545454545454501"/>
  </r>
  <r>
    <s v="INV10513"/>
    <d v="2026-08-17T00:00:00"/>
    <s v="August"/>
    <x v="45"/>
    <s v="P005"/>
    <s v="Polo T-Shirt"/>
    <s v="T-Shirts"/>
    <n v="2"/>
    <n v="750"/>
    <n v="75"/>
    <n v="1425"/>
    <n v="860"/>
    <n v="565"/>
    <s v="Rohit"/>
    <s v="City Store"/>
    <s v="Indore"/>
    <s v="UPI"/>
    <n v="0.39649122807017501"/>
  </r>
  <r>
    <s v="INV10514"/>
    <d v="2026-02-28T00:00:00"/>
    <s v="February"/>
    <x v="116"/>
    <s v="P011"/>
    <s v="Sweatshirt"/>
    <s v="Winter Wear"/>
    <n v="1"/>
    <n v="1150"/>
    <n v="0"/>
    <n v="1150"/>
    <n v="700"/>
    <n v="450"/>
    <s v="Sandeep"/>
    <s v="Main Store"/>
    <s v="Indore"/>
    <s v="UPI"/>
    <n v="0.39130434782608697"/>
  </r>
  <r>
    <s v="INV10515"/>
    <d v="2026-03-21T00:00:00"/>
    <s v="March"/>
    <x v="62"/>
    <s v="P012"/>
    <s v="Kurta"/>
    <s v="Ethnic Wear"/>
    <n v="2"/>
    <n v="900"/>
    <n v="50"/>
    <n v="1750"/>
    <n v="1080"/>
    <n v="670"/>
    <s v="Rohit"/>
    <s v="City Store"/>
    <s v="Indore"/>
    <s v="UPI"/>
    <n v="0.38285714285714301"/>
  </r>
  <r>
    <s v="INV10516"/>
    <d v="2026-04-23T00:00:00"/>
    <s v="April"/>
    <x v="38"/>
    <s v="P010"/>
    <s v="Hoodie"/>
    <s v="Winter Wear"/>
    <n v="1"/>
    <n v="1450"/>
    <n v="100"/>
    <n v="1350"/>
    <n v="900"/>
    <n v="450"/>
    <s v="Amit"/>
    <s v="Main Store"/>
    <s v="Bhopal"/>
    <s v="Card"/>
    <n v="0.33333333333333298"/>
  </r>
  <r>
    <s v="INV10517"/>
    <d v="2026-08-12T00:00:00"/>
    <s v="August"/>
    <x v="94"/>
    <s v="P014"/>
    <s v="Kids Shirt"/>
    <s v="Kids Wear"/>
    <n v="1"/>
    <n v="600"/>
    <n v="20"/>
    <n v="580"/>
    <n v="350"/>
    <n v="230"/>
    <s v="Sandeep"/>
    <s v="City Store"/>
    <s v="Indore"/>
    <s v="UPI"/>
    <n v="0.39655172413793099"/>
  </r>
  <r>
    <s v="INV10518"/>
    <d v="2026-06-30T00:00:00"/>
    <s v="June"/>
    <x v="118"/>
    <s v="P004"/>
    <s v="Basic T-Shirt"/>
    <s v="T-Shirts"/>
    <n v="2"/>
    <n v="550"/>
    <n v="0"/>
    <n v="1100"/>
    <n v="600"/>
    <n v="500"/>
    <s v="Priya"/>
    <s v="City Store"/>
    <s v="Bhopal"/>
    <s v="Credit"/>
    <n v="0.45454545454545398"/>
  </r>
  <r>
    <s v="INV10519"/>
    <d v="2026-07-23T00:00:00"/>
    <s v="July"/>
    <x v="24"/>
    <s v="P008"/>
    <s v="Cotton Trousers"/>
    <s v="Trousers"/>
    <n v="1"/>
    <n v="950"/>
    <n v="50"/>
    <n v="900"/>
    <n v="570"/>
    <n v="330"/>
    <s v="Priya"/>
    <s v="City Store"/>
    <s v="Jabalpur"/>
    <s v="Cash"/>
    <n v="0.36666666666666697"/>
  </r>
  <r>
    <s v="INV10520"/>
    <d v="2026-06-12T00:00:00"/>
    <s v="June"/>
    <x v="118"/>
    <s v="P006"/>
    <s v="Slim Jeans"/>
    <s v="Jeans"/>
    <n v="1"/>
    <n v="1350"/>
    <n v="75"/>
    <n v="1275"/>
    <n v="850"/>
    <n v="425"/>
    <s v="Sandeep"/>
    <s v="City Store"/>
    <s v="Indore"/>
    <s v="Cash"/>
    <n v="0.33333333333333298"/>
  </r>
  <r>
    <s v="INV10521"/>
    <d v="2026-08-20T00:00:00"/>
    <s v="August"/>
    <x v="43"/>
    <s v="P006"/>
    <s v="Slim Jeans"/>
    <s v="Jeans"/>
    <n v="1"/>
    <n v="1350"/>
    <n v="0"/>
    <n v="1350"/>
    <n v="850"/>
    <n v="500"/>
    <s v="Sandeep"/>
    <s v="City Store"/>
    <s v="Indore"/>
    <s v="Card"/>
    <n v="0.37037037037037002"/>
  </r>
  <r>
    <s v="INV10522"/>
    <d v="2026-02-07T00:00:00"/>
    <s v="February"/>
    <x v="12"/>
    <s v="P011"/>
    <s v="Sweatshirt"/>
    <s v="Winter Wear"/>
    <n v="2"/>
    <n v="1150"/>
    <n v="50"/>
    <n v="2250"/>
    <n v="1400"/>
    <n v="850"/>
    <s v="Neha"/>
    <s v="City Store"/>
    <s v="Bhopal"/>
    <s v="Card"/>
    <n v="0.37777777777777799"/>
  </r>
  <r>
    <s v="INV10523"/>
    <d v="2026-04-19T00:00:00"/>
    <s v="April"/>
    <x v="91"/>
    <s v="P011"/>
    <s v="Sweatshirt"/>
    <s v="Winter Wear"/>
    <n v="2"/>
    <n v="1150"/>
    <n v="75"/>
    <n v="2225"/>
    <n v="1400"/>
    <n v="825"/>
    <s v="Neha"/>
    <s v="Main Store"/>
    <s v="Bhopal"/>
    <s v="UPI"/>
    <n v="0.37078651685393299"/>
  </r>
  <r>
    <s v="INV10524"/>
    <d v="2026-07-06T00:00:00"/>
    <s v="July"/>
    <x v="2"/>
    <s v="P013"/>
    <s v="Kurta Set"/>
    <s v="Ethnic Wear"/>
    <n v="1"/>
    <n v="1500"/>
    <n v="0"/>
    <n v="1500"/>
    <n v="920"/>
    <n v="580"/>
    <s v="Neha"/>
    <s v="City Store"/>
    <s v="Bhopal"/>
    <s v="UPI"/>
    <n v="0.38666666666666699"/>
  </r>
  <r>
    <s v="INV10525"/>
    <d v="2026-06-15T00:00:00"/>
    <s v="June"/>
    <x v="101"/>
    <s v="P012"/>
    <s v="Kurta"/>
    <s v="Ethnic Wear"/>
    <n v="2"/>
    <n v="900"/>
    <n v="0"/>
    <n v="1800"/>
    <n v="1080"/>
    <n v="720"/>
    <s v="Rohit"/>
    <s v="Main Store"/>
    <s v="Bhopal"/>
    <s v="Card"/>
    <n v="0.4"/>
  </r>
  <r>
    <s v="INV10526"/>
    <d v="2026-07-16T00:00:00"/>
    <s v="July"/>
    <x v="40"/>
    <s v="P011"/>
    <s v="Sweatshirt"/>
    <s v="Winter Wear"/>
    <n v="1"/>
    <n v="1150"/>
    <n v="100"/>
    <n v="1050"/>
    <n v="700"/>
    <n v="350"/>
    <s v="Sandeep"/>
    <s v="City Store"/>
    <s v="Bhopal"/>
    <s v="Cash"/>
    <n v="0.33333333333333298"/>
  </r>
  <r>
    <s v="INV10527"/>
    <d v="2026-07-13T00:00:00"/>
    <s v="July"/>
    <x v="83"/>
    <s v="P013"/>
    <s v="Kurta Set"/>
    <s v="Ethnic Wear"/>
    <n v="2"/>
    <n v="1500"/>
    <n v="50"/>
    <n v="2950"/>
    <n v="1840"/>
    <n v="1110"/>
    <s v="Sandeep"/>
    <s v="Main Store"/>
    <s v="Jabalpur"/>
    <s v="UPI"/>
    <n v="0.37627118644067797"/>
  </r>
  <r>
    <s v="INV10528"/>
    <d v="2026-08-14T00:00:00"/>
    <s v="August"/>
    <x v="105"/>
    <s v="P003"/>
    <s v="Premium Shirt"/>
    <s v="Shirts"/>
    <n v="3"/>
    <n v="1250"/>
    <n v="20"/>
    <n v="3730"/>
    <n v="2280"/>
    <n v="1450"/>
    <s v="Priya"/>
    <s v="Main Store"/>
    <s v="Bhopal"/>
    <s v="UPI"/>
    <n v="0.38873994638069698"/>
  </r>
  <r>
    <s v="INV10529"/>
    <d v="2026-04-23T00:00:00"/>
    <s v="April"/>
    <x v="14"/>
    <s v="P003"/>
    <s v="Premium Shirt"/>
    <s v="Shirts"/>
    <n v="1"/>
    <n v="1250"/>
    <n v="20"/>
    <n v="1230"/>
    <n v="760"/>
    <n v="470"/>
    <s v="Priya"/>
    <s v="City Store"/>
    <s v="Jabalpur"/>
    <s v="Cash"/>
    <n v="0.38211382113821102"/>
  </r>
  <r>
    <s v="INV10530"/>
    <d v="2026-07-01T00:00:00"/>
    <s v="July"/>
    <x v="107"/>
    <s v="P011"/>
    <s v="Sweatshirt"/>
    <s v="Winter Wear"/>
    <n v="2"/>
    <n v="1150"/>
    <n v="20"/>
    <n v="2280"/>
    <n v="1400"/>
    <n v="880"/>
    <s v="Neha"/>
    <s v="Main Store"/>
    <s v="Jabalpur"/>
    <s v="UPI"/>
    <n v="0.38596491228070201"/>
  </r>
  <r>
    <s v="INV10531"/>
    <d v="2026-07-21T00:00:00"/>
    <s v="July"/>
    <x v="99"/>
    <s v="P011"/>
    <s v="Sweatshirt"/>
    <s v="Winter Wear"/>
    <n v="2"/>
    <n v="1150"/>
    <n v="50"/>
    <n v="2250"/>
    <n v="1400"/>
    <n v="850"/>
    <s v="Neha"/>
    <s v="Main Store"/>
    <s v="Bhopal"/>
    <s v="Cash"/>
    <n v="0.37777777777777799"/>
  </r>
  <r>
    <s v="INV10532"/>
    <d v="2026-08-30T00:00:00"/>
    <s v="August"/>
    <x v="56"/>
    <s v="P015"/>
    <s v="Kids Jeans"/>
    <s v="Kids Wear"/>
    <n v="1"/>
    <n v="800"/>
    <n v="0"/>
    <n v="800"/>
    <n v="470"/>
    <n v="330"/>
    <s v="Amit"/>
    <s v="Main Store"/>
    <s v="Indore"/>
    <s v="UPI"/>
    <n v="0.41249999999999998"/>
  </r>
  <r>
    <s v="INV10533"/>
    <d v="2026-02-28T00:00:00"/>
    <s v="February"/>
    <x v="119"/>
    <s v="P004"/>
    <s v="Basic T-Shirt"/>
    <s v="T-Shirts"/>
    <n v="2"/>
    <n v="550"/>
    <n v="0"/>
    <n v="1100"/>
    <n v="600"/>
    <n v="500"/>
    <s v="Priya"/>
    <s v="City Store"/>
    <s v="Indore"/>
    <s v="Cash"/>
    <n v="0.45454545454545398"/>
  </r>
  <r>
    <s v="INV10534"/>
    <d v="2026-04-04T00:00:00"/>
    <s v="April"/>
    <x v="102"/>
    <s v="P006"/>
    <s v="Slim Jeans"/>
    <s v="Jeans"/>
    <n v="1"/>
    <n v="1350"/>
    <n v="20"/>
    <n v="1330"/>
    <n v="850"/>
    <n v="480"/>
    <s v="Sandeep"/>
    <s v="City Store"/>
    <s v="Jabalpur"/>
    <s v="Card"/>
    <n v="0.360902255639098"/>
  </r>
  <r>
    <s v="INV10535"/>
    <d v="2026-07-19T00:00:00"/>
    <s v="July"/>
    <x v="17"/>
    <s v="P002"/>
    <s v="Casual Shirt"/>
    <s v="Shirts"/>
    <n v="3"/>
    <n v="700"/>
    <n v="20"/>
    <n v="2080"/>
    <n v="1230"/>
    <n v="850"/>
    <s v="Neha"/>
    <s v="City Store"/>
    <s v="Jabalpur"/>
    <s v="UPI"/>
    <n v="0.40865384615384598"/>
  </r>
  <r>
    <s v="INV10536"/>
    <d v="2026-07-02T00:00:00"/>
    <s v="July"/>
    <x v="50"/>
    <s v="P014"/>
    <s v="Kids Shirt"/>
    <s v="Kids Wear"/>
    <n v="3"/>
    <n v="600"/>
    <n v="50"/>
    <n v="1750"/>
    <n v="1050"/>
    <n v="700"/>
    <s v="Neha"/>
    <s v="Main Store"/>
    <s v="Jabalpur"/>
    <s v="Credit"/>
    <n v="0.4"/>
  </r>
  <r>
    <s v="INV10537"/>
    <d v="2026-03-29T00:00:00"/>
    <s v="March"/>
    <x v="111"/>
    <s v="P008"/>
    <s v="Cotton Trousers"/>
    <s v="Trousers"/>
    <n v="1"/>
    <n v="950"/>
    <n v="50"/>
    <n v="900"/>
    <n v="570"/>
    <n v="330"/>
    <s v="Neha"/>
    <s v="Main Store"/>
    <s v="Jabalpur"/>
    <s v="Card"/>
    <n v="0.36666666666666697"/>
  </r>
  <r>
    <s v="INV10538"/>
    <d v="2026-07-26T00:00:00"/>
    <s v="July"/>
    <x v="73"/>
    <s v="P015"/>
    <s v="Kids Jeans"/>
    <s v="Kids Wear"/>
    <n v="2"/>
    <n v="800"/>
    <n v="50"/>
    <n v="1550"/>
    <n v="940"/>
    <n v="610"/>
    <s v="Sandeep"/>
    <s v="City Store"/>
    <s v="Indore"/>
    <s v="UPI"/>
    <n v="0.39354838709677398"/>
  </r>
  <r>
    <s v="INV10539"/>
    <d v="2026-01-17T00:00:00"/>
    <s v="January"/>
    <x v="97"/>
    <s v="P007"/>
    <s v="Regular Jeans"/>
    <s v="Jeans"/>
    <n v="1"/>
    <n v="1100"/>
    <n v="20"/>
    <n v="1080"/>
    <n v="680"/>
    <n v="400"/>
    <s v="Rohit"/>
    <s v="City Store"/>
    <s v="Jabalpur"/>
    <s v="UPI"/>
    <n v="0.37037037037037002"/>
  </r>
  <r>
    <s v="INV10540"/>
    <d v="2026-02-27T00:00:00"/>
    <s v="February"/>
    <x v="41"/>
    <s v="P011"/>
    <s v="Sweatshirt"/>
    <s v="Winter Wear"/>
    <n v="2"/>
    <n v="1150"/>
    <n v="20"/>
    <n v="2280"/>
    <n v="1400"/>
    <n v="880"/>
    <s v="Neha"/>
    <s v="City Store"/>
    <s v="Indore"/>
    <s v="UPI"/>
    <n v="0.38596491228070201"/>
  </r>
  <r>
    <s v="INV10541"/>
    <d v="2026-03-25T00:00:00"/>
    <s v="March"/>
    <x v="4"/>
    <s v="P010"/>
    <s v="Hoodie"/>
    <s v="Winter Wear"/>
    <n v="1"/>
    <n v="1450"/>
    <n v="20"/>
    <n v="1430"/>
    <n v="900"/>
    <n v="530"/>
    <s v="Sandeep"/>
    <s v="City Store"/>
    <s v="Jabalpur"/>
    <s v="Credit"/>
    <n v="0.37062937062937101"/>
  </r>
  <r>
    <s v="INV10542"/>
    <d v="2026-05-19T00:00:00"/>
    <s v="May"/>
    <x v="89"/>
    <s v="P008"/>
    <s v="Cotton Trousers"/>
    <s v="Trousers"/>
    <n v="1"/>
    <n v="950"/>
    <n v="0"/>
    <n v="950"/>
    <n v="570"/>
    <n v="380"/>
    <s v="Sandeep"/>
    <s v="City Store"/>
    <s v="Indore"/>
    <s v="UPI"/>
    <n v="0.4"/>
  </r>
  <r>
    <s v="INV10543"/>
    <d v="2026-02-05T00:00:00"/>
    <s v="February"/>
    <x v="68"/>
    <s v="P001"/>
    <s v="Formal Shirt"/>
    <s v="Shirts"/>
    <n v="1"/>
    <n v="850"/>
    <n v="0"/>
    <n v="850"/>
    <n v="520"/>
    <n v="330"/>
    <s v="Rohit"/>
    <s v="City Store"/>
    <s v="Bhopal"/>
    <s v="Card"/>
    <n v="0.38823529411764701"/>
  </r>
  <r>
    <s v="INV10544"/>
    <d v="2026-08-03T00:00:00"/>
    <s v="August"/>
    <x v="99"/>
    <s v="P006"/>
    <s v="Slim Jeans"/>
    <s v="Jeans"/>
    <n v="3"/>
    <n v="1350"/>
    <n v="0"/>
    <n v="4050"/>
    <n v="2550"/>
    <n v="1500"/>
    <s v="Rohit"/>
    <s v="Main Store"/>
    <s v="Bhopal"/>
    <s v="Card"/>
    <n v="0.37037037037037002"/>
  </r>
  <r>
    <s v="INV10545"/>
    <d v="2026-08-18T00:00:00"/>
    <s v="August"/>
    <x v="46"/>
    <s v="P014"/>
    <s v="Kids Shirt"/>
    <s v="Kids Wear"/>
    <n v="2"/>
    <n v="600"/>
    <n v="0"/>
    <n v="1200"/>
    <n v="700"/>
    <n v="500"/>
    <s v="Neha"/>
    <s v="City Store"/>
    <s v="Indore"/>
    <s v="Card"/>
    <n v="0.41666666666666702"/>
  </r>
  <r>
    <s v="INV10546"/>
    <d v="2026-02-26T00:00:00"/>
    <s v="February"/>
    <x v="105"/>
    <s v="P001"/>
    <s v="Formal Shirt"/>
    <s v="Shirts"/>
    <n v="1"/>
    <n v="850"/>
    <n v="0"/>
    <n v="850"/>
    <n v="520"/>
    <n v="330"/>
    <s v="Rohit"/>
    <s v="Main Store"/>
    <s v="Indore"/>
    <s v="Cash"/>
    <n v="0.38823529411764701"/>
  </r>
  <r>
    <s v="INV10547"/>
    <d v="2026-07-23T00:00:00"/>
    <s v="July"/>
    <x v="84"/>
    <s v="P013"/>
    <s v="Kurta Set"/>
    <s v="Ethnic Wear"/>
    <n v="1"/>
    <n v="1500"/>
    <n v="20"/>
    <n v="1480"/>
    <n v="920"/>
    <n v="560"/>
    <s v="Amit"/>
    <s v="Main Store"/>
    <s v="Indore"/>
    <s v="UPI"/>
    <n v="0.37837837837837801"/>
  </r>
  <r>
    <s v="INV10548"/>
    <d v="2026-02-01T00:00:00"/>
    <s v="February"/>
    <x v="79"/>
    <s v="P015"/>
    <s v="Kids Jeans"/>
    <s v="Kids Wear"/>
    <n v="1"/>
    <n v="800"/>
    <n v="20"/>
    <n v="780"/>
    <n v="470"/>
    <n v="310"/>
    <s v="Priya"/>
    <s v="City Store"/>
    <s v="Bhopal"/>
    <s v="Cash"/>
    <n v="0.39743589743589702"/>
  </r>
  <r>
    <s v="INV10549"/>
    <d v="2026-06-21T00:00:00"/>
    <s v="June"/>
    <x v="53"/>
    <s v="P013"/>
    <s v="Kurta Set"/>
    <s v="Ethnic Wear"/>
    <n v="2"/>
    <n v="1500"/>
    <n v="20"/>
    <n v="2980"/>
    <n v="1840"/>
    <n v="1140"/>
    <s v="Neha"/>
    <s v="City Store"/>
    <s v="Bhopal"/>
    <s v="UPI"/>
    <n v="0.38255033557047002"/>
  </r>
  <r>
    <s v="INV10550"/>
    <d v="2026-07-06T00:00:00"/>
    <s v="July"/>
    <x v="9"/>
    <s v="P002"/>
    <s v="Casual Shirt"/>
    <s v="Shirts"/>
    <n v="1"/>
    <n v="700"/>
    <n v="50"/>
    <n v="650"/>
    <n v="410"/>
    <n v="240"/>
    <s v="Sandeep"/>
    <s v="Main Store"/>
    <s v="Jabalpur"/>
    <s v="Card"/>
    <n v="0.36923076923076897"/>
  </r>
  <r>
    <s v="INV10551"/>
    <d v="2026-03-31T00:00:00"/>
    <s v="March"/>
    <x v="8"/>
    <s v="P006"/>
    <s v="Slim Jeans"/>
    <s v="Jeans"/>
    <n v="2"/>
    <n v="1350"/>
    <n v="20"/>
    <n v="2680"/>
    <n v="1700"/>
    <n v="980"/>
    <s v="Priya"/>
    <s v="City Store"/>
    <s v="Bhopal"/>
    <s v="Card"/>
    <n v="0.365671641791045"/>
  </r>
  <r>
    <s v="INV10552"/>
    <d v="2026-06-15T00:00:00"/>
    <s v="June"/>
    <x v="71"/>
    <s v="P013"/>
    <s v="Kurta Set"/>
    <s v="Ethnic Wear"/>
    <n v="2"/>
    <n v="1500"/>
    <n v="0"/>
    <n v="3000"/>
    <n v="1840"/>
    <n v="1160"/>
    <s v="Priya"/>
    <s v="Main Store"/>
    <s v="Indore"/>
    <s v="Card"/>
    <n v="0.38666666666666699"/>
  </r>
  <r>
    <s v="INV10553"/>
    <d v="2026-05-30T00:00:00"/>
    <s v="May"/>
    <x v="114"/>
    <s v="P003"/>
    <s v="Premium Shirt"/>
    <s v="Shirts"/>
    <n v="1"/>
    <n v="1250"/>
    <n v="75"/>
    <n v="1175"/>
    <n v="760"/>
    <n v="415"/>
    <s v="Sandeep"/>
    <s v="City Store"/>
    <s v="Bhopal"/>
    <s v="Cash"/>
    <n v="0.35319148936170203"/>
  </r>
  <r>
    <s v="INV10554"/>
    <d v="2026-05-18T00:00:00"/>
    <s v="May"/>
    <x v="4"/>
    <s v="P009"/>
    <s v="Formal Trousers"/>
    <s v="Trousers"/>
    <n v="2"/>
    <n v="1200"/>
    <n v="0"/>
    <n v="2400"/>
    <n v="1460"/>
    <n v="940"/>
    <s v="Neha"/>
    <s v="City Store"/>
    <s v="Jabalpur"/>
    <s v="Card"/>
    <n v="0.391666666666667"/>
  </r>
  <r>
    <s v="INV10555"/>
    <d v="2026-03-30T00:00:00"/>
    <s v="March"/>
    <x v="98"/>
    <s v="P013"/>
    <s v="Kurta Set"/>
    <s v="Ethnic Wear"/>
    <n v="2"/>
    <n v="1500"/>
    <n v="0"/>
    <n v="3000"/>
    <n v="1840"/>
    <n v="1160"/>
    <s v="Sandeep"/>
    <s v="City Store"/>
    <s v="Bhopal"/>
    <s v="Cash"/>
    <n v="0.38666666666666699"/>
  </r>
  <r>
    <s v="INV10556"/>
    <d v="2026-04-24T00:00:00"/>
    <s v="April"/>
    <x v="55"/>
    <s v="P004"/>
    <s v="Basic T-Shirt"/>
    <s v="T-Shirts"/>
    <n v="1"/>
    <n v="550"/>
    <n v="75"/>
    <n v="475"/>
    <n v="300"/>
    <n v="175"/>
    <s v="Priya"/>
    <s v="City Store"/>
    <s v="Jabalpur"/>
    <s v="UPI"/>
    <n v="0.36842105263157898"/>
  </r>
  <r>
    <s v="INV10557"/>
    <d v="2026-01-17T00:00:00"/>
    <s v="January"/>
    <x v="1"/>
    <s v="P004"/>
    <s v="Basic T-Shirt"/>
    <s v="T-Shirts"/>
    <n v="1"/>
    <n v="550"/>
    <n v="20"/>
    <n v="530"/>
    <n v="300"/>
    <n v="230"/>
    <s v="Rohit"/>
    <s v="City Store"/>
    <s v="Indore"/>
    <s v="Card"/>
    <n v="0.43396226415094302"/>
  </r>
  <r>
    <s v="INV10558"/>
    <d v="2026-08-06T00:00:00"/>
    <s v="August"/>
    <x v="29"/>
    <s v="P007"/>
    <s v="Regular Jeans"/>
    <s v="Jeans"/>
    <n v="1"/>
    <n v="1100"/>
    <n v="0"/>
    <n v="1100"/>
    <n v="680"/>
    <n v="420"/>
    <s v="Neha"/>
    <s v="Main Store"/>
    <s v="Bhopal"/>
    <s v="UPI"/>
    <n v="0.381818181818182"/>
  </r>
  <r>
    <s v="INV10559"/>
    <d v="2026-01-02T00:00:00"/>
    <s v="January"/>
    <x v="20"/>
    <s v="P012"/>
    <s v="Kurta"/>
    <s v="Ethnic Wear"/>
    <n v="2"/>
    <n v="900"/>
    <n v="0"/>
    <n v="1800"/>
    <n v="1080"/>
    <n v="720"/>
    <s v="Rohit"/>
    <s v="Main Store"/>
    <s v="Jabalpur"/>
    <s v="Card"/>
    <n v="0.4"/>
  </r>
  <r>
    <s v="INV10560"/>
    <d v="2026-04-04T00:00:00"/>
    <s v="April"/>
    <x v="107"/>
    <s v="P013"/>
    <s v="Kurta Set"/>
    <s v="Ethnic Wear"/>
    <n v="2"/>
    <n v="1500"/>
    <n v="20"/>
    <n v="2980"/>
    <n v="1840"/>
    <n v="1140"/>
    <s v="Sandeep"/>
    <s v="Main Store"/>
    <s v="Jabalpur"/>
    <s v="Card"/>
    <n v="0.38255033557047002"/>
  </r>
  <r>
    <s v="INV10561"/>
    <d v="2026-05-23T00:00:00"/>
    <s v="May"/>
    <x v="111"/>
    <s v="P007"/>
    <s v="Regular Jeans"/>
    <s v="Jeans"/>
    <n v="2"/>
    <n v="1100"/>
    <n v="0"/>
    <n v="2200"/>
    <n v="1360"/>
    <n v="840"/>
    <s v=" Neha"/>
    <s v="City Store"/>
    <s v="Bhopal"/>
    <s v="UPI"/>
    <n v="0.381818181818182"/>
  </r>
  <r>
    <s v="INV10562"/>
    <d v="2026-05-17T00:00:00"/>
    <s v="May"/>
    <x v="82"/>
    <s v="P004"/>
    <s v="Basic T-Shirt"/>
    <s v="T-Shirts"/>
    <n v="1"/>
    <n v="550"/>
    <n v="75"/>
    <n v="475"/>
    <n v="300"/>
    <n v="175"/>
    <s v="Amit"/>
    <s v="City Store"/>
    <s v="Bhopal"/>
    <s v="Card"/>
    <n v="0.36842105263157898"/>
  </r>
  <r>
    <s v="INV10563"/>
    <d v="2026-08-25T00:00:00"/>
    <s v="August"/>
    <x v="120"/>
    <s v="P009"/>
    <s v="Formal Trousers"/>
    <s v="Trousers"/>
    <n v="1"/>
    <n v="1200"/>
    <n v="20"/>
    <n v="1180"/>
    <n v="730"/>
    <n v="450"/>
    <s v="Amit"/>
    <s v="Main Store"/>
    <s v="Bhopal"/>
    <s v="UPI"/>
    <n v="0.38135593220338998"/>
  </r>
  <r>
    <s v="INV10564"/>
    <d v="2026-04-25T00:00:00"/>
    <s v="April"/>
    <x v="78"/>
    <s v="P001"/>
    <s v="Formal Shirt"/>
    <s v="Shirts"/>
    <n v="2"/>
    <n v="850"/>
    <n v="0"/>
    <n v="1700"/>
    <n v="1040"/>
    <n v="660"/>
    <s v="Neha"/>
    <s v="Main Store"/>
    <s v="Jabalpur"/>
    <s v="UPI"/>
    <n v="0.38823529411764701"/>
  </r>
  <r>
    <s v="INV10565"/>
    <d v="2026-05-31T00:00:00"/>
    <s v="May"/>
    <x v="63"/>
    <s v="P010"/>
    <s v="Hoodie"/>
    <s v="Winter Wear"/>
    <n v="2"/>
    <n v="1450"/>
    <n v="20"/>
    <n v="2880"/>
    <n v="1800"/>
    <n v="1080"/>
    <s v="Rohit"/>
    <s v="City Store"/>
    <s v="Jabalpur"/>
    <s v="Card"/>
    <n v="0.375"/>
  </r>
  <r>
    <s v="INV10566"/>
    <d v="2026-08-15T00:00:00"/>
    <s v="August"/>
    <x v="64"/>
    <s v="P003"/>
    <s v="Premium Shirt"/>
    <s v="Shirts"/>
    <n v="1"/>
    <n v="1250"/>
    <n v="50"/>
    <n v="1200"/>
    <n v="760"/>
    <n v="440"/>
    <s v="Neha"/>
    <s v="City Store"/>
    <s v="Jabalpur"/>
    <s v="UPI"/>
    <n v="0.36666666666666697"/>
  </r>
  <r>
    <s v="INV10567"/>
    <d v="2026-06-05T00:00:00"/>
    <s v="June"/>
    <x v="34"/>
    <s v="P002"/>
    <s v="Casual Shirt"/>
    <s v="Shirts"/>
    <n v="2"/>
    <n v="700"/>
    <n v="100"/>
    <n v="1300"/>
    <n v="820"/>
    <n v="480"/>
    <s v="Neha"/>
    <s v="City Store"/>
    <s v="Indore"/>
    <s v="UPI"/>
    <n v="0.36923076923076897"/>
  </r>
  <r>
    <s v="INV10568"/>
    <d v="2026-03-09T00:00:00"/>
    <s v="March"/>
    <x v="66"/>
    <s v="P006"/>
    <s v="Slim Jeans"/>
    <s v="Jeans"/>
    <n v="3"/>
    <n v="1350"/>
    <n v="75"/>
    <n v="3975"/>
    <n v="2550"/>
    <n v="1425"/>
    <s v="Rohit"/>
    <s v="Main Store"/>
    <s v="Bhopal"/>
    <s v="UPI"/>
    <n v="0.35849056603773599"/>
  </r>
  <r>
    <s v="INV10569"/>
    <d v="2026-04-15T00:00:00"/>
    <s v="April"/>
    <x v="76"/>
    <s v="P013"/>
    <s v="Kurta Set"/>
    <s v="Ethnic Wear"/>
    <n v="1"/>
    <n v="1500"/>
    <n v="50"/>
    <n v="1450"/>
    <n v="920"/>
    <n v="530"/>
    <s v="Priya"/>
    <s v="City Store"/>
    <s v="Bhopal"/>
    <s v="UPI"/>
    <n v="0.36551724137931002"/>
  </r>
  <r>
    <s v="INV10570"/>
    <d v="2026-01-28T00:00:00"/>
    <s v="January"/>
    <x v="13"/>
    <s v="P003"/>
    <s v="Premium Shirt"/>
    <s v="Shirts"/>
    <n v="1"/>
    <n v="1250"/>
    <n v="0"/>
    <n v="1250"/>
    <n v="760"/>
    <n v="490"/>
    <s v="Rohit"/>
    <s v="City Store"/>
    <s v="Jabalpur"/>
    <s v="Card"/>
    <n v="0.39200000000000002"/>
  </r>
  <r>
    <s v="INV10571"/>
    <d v="2026-06-15T00:00:00"/>
    <s v="June"/>
    <x v="17"/>
    <s v="P008"/>
    <s v="Cotton Trousers"/>
    <s v="Trousers"/>
    <n v="3"/>
    <n v="950"/>
    <n v="20"/>
    <n v="2830"/>
    <n v="1710"/>
    <n v="1120"/>
    <s v="Neha"/>
    <s v="Main Store"/>
    <s v="Bhopal"/>
    <s v="UPI"/>
    <n v="0.395759717314488"/>
  </r>
  <r>
    <s v="INV10572"/>
    <d v="2026-08-25T00:00:00"/>
    <s v="August"/>
    <x v="109"/>
    <s v="P012"/>
    <s v="Kurta"/>
    <s v="Ethnic Wear"/>
    <n v="1"/>
    <n v="900"/>
    <n v="0"/>
    <n v="900"/>
    <n v="540"/>
    <n v="360"/>
    <s v="Rohit"/>
    <s v="Main Store"/>
    <s v="Indore"/>
    <s v="UPI"/>
    <n v="0.4"/>
  </r>
  <r>
    <s v="INV10573"/>
    <d v="2026-07-11T00:00:00"/>
    <s v="July"/>
    <x v="33"/>
    <s v="P006"/>
    <s v="Slim Jeans"/>
    <s v="Jeans"/>
    <n v="2"/>
    <n v="1350"/>
    <n v="50"/>
    <n v="2650"/>
    <n v="1700"/>
    <n v="950"/>
    <s v="Rohit"/>
    <s v="Main Store"/>
    <s v="Bhopal"/>
    <s v="UPI"/>
    <n v="0.35849056603773599"/>
  </r>
  <r>
    <s v="INV10574"/>
    <d v="2026-01-15T00:00:00"/>
    <s v="January"/>
    <x v="51"/>
    <s v="P003"/>
    <s v="Premium Shirt"/>
    <s v="Shirts"/>
    <n v="2"/>
    <n v="1250"/>
    <n v="0"/>
    <n v="2500"/>
    <n v="1520"/>
    <n v="980"/>
    <s v="Priya"/>
    <s v="Main Store"/>
    <s v="Jabalpur"/>
    <s v="UPI"/>
    <n v="0.39200000000000002"/>
  </r>
  <r>
    <s v="INV10575"/>
    <d v="2026-03-25T00:00:00"/>
    <s v="March"/>
    <x v="25"/>
    <s v="P015"/>
    <s v="Kids Jeans"/>
    <s v="Kids Wear"/>
    <n v="1"/>
    <n v="800"/>
    <n v="75"/>
    <n v="725"/>
    <n v="470"/>
    <n v="255"/>
    <s v="Priya"/>
    <s v="Main Store"/>
    <s v="Bhopal"/>
    <s v="UPI"/>
    <n v="0.35172413793103402"/>
  </r>
  <r>
    <s v="INV10576"/>
    <d v="2026-05-02T00:00:00"/>
    <s v="May"/>
    <x v="2"/>
    <s v="P006"/>
    <s v="Slim Jeans"/>
    <s v="Jeans"/>
    <n v="1"/>
    <n v="1350"/>
    <n v="0"/>
    <n v="1350"/>
    <n v="850"/>
    <n v="500"/>
    <s v="Amit"/>
    <s v="City Store"/>
    <s v="Jabalpur"/>
    <s v="Card"/>
    <n v="0.37037037037037002"/>
  </r>
  <r>
    <s v="INV10577"/>
    <d v="2026-02-07T00:00:00"/>
    <s v="February"/>
    <x v="80"/>
    <s v="P005"/>
    <s v="Polo T-Shirt"/>
    <s v="T-Shirts"/>
    <n v="2"/>
    <n v="750"/>
    <n v="20"/>
    <n v="1480"/>
    <n v="860"/>
    <n v="620"/>
    <s v="Rohit"/>
    <s v="City Store"/>
    <s v="Indore"/>
    <s v="Cash"/>
    <n v="0.41891891891891903"/>
  </r>
  <r>
    <s v="INV10578"/>
    <d v="2026-05-02T00:00:00"/>
    <s v="May"/>
    <x v="11"/>
    <s v="P014"/>
    <s v="Kids Shirt"/>
    <s v="Kids Wear"/>
    <n v="2"/>
    <n v="600"/>
    <n v="20"/>
    <n v="1180"/>
    <n v="700"/>
    <n v="480"/>
    <s v="Amit"/>
    <s v="Main Store"/>
    <s v="Bhopal"/>
    <s v="UPI"/>
    <n v="0.40677966101694901"/>
  </r>
  <r>
    <s v="INV10579"/>
    <d v="2026-08-02T00:00:00"/>
    <s v="August"/>
    <x v="33"/>
    <s v="P011"/>
    <s v="Sweatshirt"/>
    <s v="Winter Wear"/>
    <n v="3"/>
    <n v="1150"/>
    <n v="75"/>
    <n v="3375"/>
    <n v="2100"/>
    <n v="1275"/>
    <s v="Neha"/>
    <s v="City Store"/>
    <s v="Indore"/>
    <s v="Cash"/>
    <n v="0.37777777777777799"/>
  </r>
  <r>
    <s v="INV10580"/>
    <d v="2026-03-02T00:00:00"/>
    <s v="March"/>
    <x v="97"/>
    <s v="P004"/>
    <s v="Basic T-Shirt"/>
    <s v="T-Shirts"/>
    <n v="1"/>
    <n v="550"/>
    <n v="75"/>
    <n v="475"/>
    <n v="300"/>
    <n v="175"/>
    <s v="Sandeep"/>
    <s v="City Store"/>
    <s v="Jabalpur"/>
    <s v="UPI"/>
    <n v="0.36842105263157898"/>
  </r>
  <r>
    <s v="INV10581"/>
    <d v="2026-04-03T00:00:00"/>
    <s v="April"/>
    <x v="39"/>
    <s v="P005"/>
    <s v="Polo T-Shirt"/>
    <s v="T-Shirts"/>
    <n v="1"/>
    <n v="750"/>
    <n v="100"/>
    <n v="650"/>
    <n v="430"/>
    <n v="220"/>
    <s v="Amit"/>
    <s v="Main Store"/>
    <s v="Indore"/>
    <s v="Card"/>
    <n v="0.33846153846153798"/>
  </r>
  <r>
    <s v="INV10582"/>
    <d v="2026-04-18T00:00:00"/>
    <s v="April"/>
    <x v="115"/>
    <s v="P012"/>
    <s v="Kurta"/>
    <s v="Ethnic Wear"/>
    <n v="2"/>
    <n v="900"/>
    <n v="75"/>
    <n v="1725"/>
    <n v="1080"/>
    <n v="645"/>
    <s v="Rohit"/>
    <s v="Main Store"/>
    <s v="Bhopal"/>
    <s v="Card"/>
    <n v="0.37391304347826099"/>
  </r>
  <r>
    <s v="INV10583"/>
    <d v="2026-04-04T00:00:00"/>
    <s v="April"/>
    <x v="111"/>
    <s v="P013"/>
    <s v="Kurta Set"/>
    <s v="Ethnic Wear"/>
    <n v="1"/>
    <n v="1500"/>
    <n v="20"/>
    <n v="1480"/>
    <n v="920"/>
    <n v="560"/>
    <s v="Rohit"/>
    <s v="Main Store"/>
    <s v="Bhopal"/>
    <s v="UPI"/>
    <n v="0.37837837837837801"/>
  </r>
  <r>
    <s v="INV10584"/>
    <d v="2026-07-02T00:00:00"/>
    <s v="July"/>
    <x v="99"/>
    <s v="P015"/>
    <s v="Kids Jeans"/>
    <s v="Kids Wear"/>
    <n v="1"/>
    <n v="800"/>
    <n v="50"/>
    <n v="750"/>
    <n v="470"/>
    <n v="280"/>
    <s v="Sandeep"/>
    <s v="Main Store"/>
    <s v="Jabalpur"/>
    <s v="UPI"/>
    <n v="0.37333333333333302"/>
  </r>
  <r>
    <s v="INV10585"/>
    <d v="2026-03-20T00:00:00"/>
    <s v="March"/>
    <x v="62"/>
    <s v="P015"/>
    <s v="Kids Jeans"/>
    <s v="Kids Wear"/>
    <n v="2"/>
    <n v="800"/>
    <n v="75"/>
    <n v="1525"/>
    <n v="940"/>
    <n v="585"/>
    <s v="Neha"/>
    <s v="Main Store"/>
    <s v="Indore"/>
    <s v="Card"/>
    <n v="0.38360655737704902"/>
  </r>
  <r>
    <s v="INV10586"/>
    <d v="2026-06-15T00:00:00"/>
    <s v="June"/>
    <x v="62"/>
    <s v="P001"/>
    <s v="Formal Shirt"/>
    <s v="Shirts"/>
    <n v="2"/>
    <n v="850"/>
    <n v="0"/>
    <n v="1700"/>
    <n v="1040"/>
    <n v="660"/>
    <s v="Sandeep"/>
    <s v="City Store"/>
    <s v="Bhopal"/>
    <s v="UPI"/>
    <n v="0.38823529411764701"/>
  </r>
  <r>
    <s v="INV10587"/>
    <d v="2026-01-27T00:00:00"/>
    <s v="January"/>
    <x v="102"/>
    <s v="P015"/>
    <s v="Kids Jeans"/>
    <s v="Kids Wear"/>
    <n v="1"/>
    <n v="800"/>
    <n v="20"/>
    <n v="780"/>
    <n v="470"/>
    <n v="310"/>
    <s v="Amit"/>
    <s v="Main Store"/>
    <s v="Jabalpur"/>
    <s v="UPI"/>
    <n v="0.39743589743589702"/>
  </r>
  <r>
    <s v="INV10588"/>
    <d v="2026-02-18T00:00:00"/>
    <s v="February"/>
    <x v="47"/>
    <s v="P012"/>
    <s v="Kurta"/>
    <s v="Ethnic Wear"/>
    <n v="1"/>
    <n v="900"/>
    <n v="100"/>
    <n v="800"/>
    <n v="540"/>
    <n v="260"/>
    <s v="Amit"/>
    <s v="City Store"/>
    <s v="Indore"/>
    <s v="Card"/>
    <n v="0.32500000000000001"/>
  </r>
  <r>
    <s v="INV10589"/>
    <d v="2026-07-11T00:00:00"/>
    <s v="July"/>
    <x v="5"/>
    <s v="P010"/>
    <s v="Hoodie"/>
    <s v="Winter Wear"/>
    <n v="1"/>
    <n v="1450"/>
    <n v="0"/>
    <n v="1450"/>
    <n v="900"/>
    <n v="550"/>
    <s v="Rohit"/>
    <s v="City Store"/>
    <s v="Jabalpur"/>
    <s v="Card"/>
    <n v="0.37931034482758602"/>
  </r>
  <r>
    <s v="INV10590"/>
    <d v="2026-04-29T00:00:00"/>
    <s v="April"/>
    <x v="80"/>
    <s v="P014"/>
    <s v="Kids Shirt"/>
    <s v="Kids Wear"/>
    <n v="1"/>
    <n v="600"/>
    <n v="20"/>
    <n v="580"/>
    <n v="350"/>
    <n v="230"/>
    <s v="Neha"/>
    <s v="Main Store"/>
    <s v="Bhopal"/>
    <s v="UPI"/>
    <n v="0.39655172413793099"/>
  </r>
  <r>
    <s v="INV10591"/>
    <d v="2026-04-10T00:00:00"/>
    <s v="April"/>
    <x v="51"/>
    <s v="P003"/>
    <s v="Premium Shirt"/>
    <s v="Shirts"/>
    <n v="1"/>
    <n v="1250"/>
    <n v="20"/>
    <n v="1230"/>
    <n v="760"/>
    <n v="470"/>
    <s v="Rohit"/>
    <s v="City Store"/>
    <s v="Jabalpur"/>
    <s v="UPI"/>
    <n v="0.38211382113821102"/>
  </r>
  <r>
    <s v="INV10592"/>
    <d v="2026-02-01T00:00:00"/>
    <s v="February"/>
    <x v="100"/>
    <s v="P007"/>
    <s v="Regular Jeans"/>
    <s v="Jeans"/>
    <n v="1"/>
    <n v="1100"/>
    <n v="0"/>
    <n v="1100"/>
    <n v="680"/>
    <n v="420"/>
    <s v="Sandeep"/>
    <s v="City Store"/>
    <s v="Indore"/>
    <s v="Cash"/>
    <n v="0.381818181818182"/>
  </r>
  <r>
    <s v="INV10593"/>
    <d v="2026-03-09T00:00:00"/>
    <s v="March"/>
    <x v="84"/>
    <s v="P005"/>
    <s v="Polo T-Shirt"/>
    <s v="T-Shirts"/>
    <n v="1"/>
    <n v="750"/>
    <n v="20"/>
    <n v="730"/>
    <n v="430"/>
    <n v="300"/>
    <s v="Neha"/>
    <s v="City Store"/>
    <s v="Indore"/>
    <s v="UPI"/>
    <n v="0.41095890410958902"/>
  </r>
  <r>
    <s v="INV10594"/>
    <d v="2026-01-31T00:00:00"/>
    <s v="January"/>
    <x v="4"/>
    <s v="P010"/>
    <s v="Hoodie"/>
    <s v="Winter Wear"/>
    <n v="1"/>
    <n v="1450"/>
    <n v="75"/>
    <n v="1375"/>
    <n v="900"/>
    <n v="475"/>
    <s v="Neha"/>
    <s v="Main Store"/>
    <s v="Jabalpur"/>
    <s v="UPI"/>
    <n v="0.34545454545454501"/>
  </r>
  <r>
    <s v="INV10595"/>
    <d v="2026-04-25T00:00:00"/>
    <s v="April"/>
    <x v="75"/>
    <s v="P002"/>
    <s v="Casual Shirt"/>
    <s v="Shirts"/>
    <n v="3"/>
    <n v="700"/>
    <n v="100"/>
    <n v="2000"/>
    <n v="1230"/>
    <n v="770"/>
    <s v="Rohit"/>
    <s v="Main Store"/>
    <s v="Jabalpur"/>
    <s v="UPI"/>
    <n v="0.38500000000000001"/>
  </r>
  <r>
    <s v="INV10596"/>
    <d v="2026-07-16T00:00:00"/>
    <s v="July"/>
    <x v="45"/>
    <s v="P014"/>
    <s v="Kids Shirt"/>
    <s v="Kids Wear"/>
    <n v="2"/>
    <n v="600"/>
    <n v="20"/>
    <n v="1180"/>
    <n v="700"/>
    <n v="480"/>
    <s v="Sandeep"/>
    <s v="Main Store"/>
    <s v="Indore"/>
    <s v="Card"/>
    <n v="0.40677966101694901"/>
  </r>
  <r>
    <s v="INV10597"/>
    <d v="2026-07-03T00:00:00"/>
    <s v="July"/>
    <x v="89"/>
    <s v="P013"/>
    <s v="Kurta Set"/>
    <s v="Ethnic Wear"/>
    <n v="2"/>
    <n v="1500"/>
    <n v="0"/>
    <n v="3000"/>
    <n v="1840"/>
    <n v="1160"/>
    <s v="Priya"/>
    <s v="City Store"/>
    <s v="Jabalpur"/>
    <s v="Card"/>
    <n v="0.38666666666666699"/>
  </r>
  <r>
    <s v="INV10598"/>
    <d v="2026-04-06T00:00:00"/>
    <s v="April"/>
    <x v="111"/>
    <s v="P010"/>
    <s v="Hoodie"/>
    <s v="Winter Wear"/>
    <n v="2"/>
    <n v="1450"/>
    <n v="20"/>
    <n v="2880"/>
    <n v="1800"/>
    <n v="1080"/>
    <s v="Sandeep"/>
    <s v="City Store"/>
    <s v="Indore"/>
    <s v="UPI"/>
    <n v="0.375"/>
  </r>
  <r>
    <s v="INV10599"/>
    <d v="2026-02-12T00:00:00"/>
    <s v="February"/>
    <x v="34"/>
    <s v="P011"/>
    <s v="Sweatshirt"/>
    <s v="Winter Wear"/>
    <n v="2"/>
    <n v="1150"/>
    <n v="75"/>
    <n v="2225"/>
    <n v="1400"/>
    <n v="825"/>
    <s v="Priya"/>
    <s v="Main Store"/>
    <s v="Jabalpur"/>
    <s v="Card"/>
    <n v="0.37078651685393299"/>
  </r>
  <r>
    <s v="INV10600"/>
    <d v="2026-02-04T00:00:00"/>
    <s v="February"/>
    <x v="99"/>
    <s v="P005"/>
    <s v="Polo T-Shirt"/>
    <s v="T-Shirts"/>
    <n v="3"/>
    <n v="750"/>
    <n v="75"/>
    <n v="2175"/>
    <n v="1290"/>
    <n v="885"/>
    <s v="Amit"/>
    <s v="City Store"/>
    <s v="Indore"/>
    <s v="Card"/>
    <n v="0.40689655172413802"/>
  </r>
  <r>
    <s v="INV10601"/>
    <d v="2026-05-17T00:00:00"/>
    <s v="May"/>
    <x v="92"/>
    <s v="P011"/>
    <s v="Sweatshirt"/>
    <s v="Winter Wear"/>
    <n v="1"/>
    <n v="1150"/>
    <n v="50"/>
    <n v="1100"/>
    <n v="700"/>
    <n v="400"/>
    <s v="Priya"/>
    <s v="Main Store"/>
    <s v="Indore"/>
    <s v="Cash"/>
    <n v="0.36363636363636398"/>
  </r>
  <r>
    <s v="INV10602"/>
    <d v="2026-07-21T00:00:00"/>
    <s v="July"/>
    <x v="86"/>
    <s v="P001"/>
    <s v="Formal Shirt"/>
    <s v="Shirts"/>
    <n v="1"/>
    <n v="850"/>
    <n v="0"/>
    <n v="850"/>
    <n v="520"/>
    <n v="330"/>
    <s v="Sandeep"/>
    <s v="Main Store"/>
    <s v="Jabalpur"/>
    <s v="UPI"/>
    <n v="0.38823529411764701"/>
  </r>
  <r>
    <s v="INV10603"/>
    <d v="2026-08-25T00:00:00"/>
    <s v="August"/>
    <x v="71"/>
    <s v="P007"/>
    <s v="Regular Jeans"/>
    <s v="Jeans"/>
    <n v="1"/>
    <n v="1100"/>
    <n v="0"/>
    <n v="1100"/>
    <n v="680"/>
    <n v="420"/>
    <s v="Amit"/>
    <s v="City Store"/>
    <s v="Indore"/>
    <s v="Card"/>
    <n v="0.381818181818182"/>
  </r>
  <r>
    <s v="INV10604"/>
    <d v="2026-06-18T00:00:00"/>
    <s v="June"/>
    <x v="109"/>
    <s v="P014"/>
    <s v="Kids Shirt"/>
    <s v="Kids Wear"/>
    <n v="1"/>
    <n v="600"/>
    <n v="0"/>
    <n v="600"/>
    <n v="350"/>
    <n v="250"/>
    <s v="Neha"/>
    <s v="City Store"/>
    <s v="Indore"/>
    <s v="UPI"/>
    <n v="0.41666666666666702"/>
  </r>
  <r>
    <s v="INV10605"/>
    <d v="2026-06-22T00:00:00"/>
    <s v="June"/>
    <x v="74"/>
    <s v="P011"/>
    <s v="Sweatshirt"/>
    <s v="Winter Wear"/>
    <n v="1"/>
    <n v="1150"/>
    <n v="75"/>
    <n v="1075"/>
    <n v="700"/>
    <n v="375"/>
    <s v="Amit"/>
    <s v="City Store"/>
    <s v="Indore"/>
    <s v="Card"/>
    <n v="0.34883720930232598"/>
  </r>
  <r>
    <s v="INV10606"/>
    <d v="2026-03-16T00:00:00"/>
    <s v="March"/>
    <x v="50"/>
    <s v="P012"/>
    <s v="Kurta"/>
    <s v="Ethnic Wear"/>
    <n v="1"/>
    <n v="900"/>
    <n v="100"/>
    <n v="800"/>
    <n v="540"/>
    <n v="260"/>
    <s v="Amit"/>
    <s v="Main Store"/>
    <s v="Indore"/>
    <s v="Card"/>
    <n v="0.32500000000000001"/>
  </r>
  <r>
    <s v="INV10607"/>
    <d v="2026-04-18T00:00:00"/>
    <s v="April"/>
    <x v="93"/>
    <s v="P011"/>
    <s v="Sweatshirt"/>
    <s v="Winter Wear"/>
    <n v="2"/>
    <n v="1150"/>
    <n v="0"/>
    <n v="2300"/>
    <n v="1400"/>
    <n v="900"/>
    <s v="Rohit"/>
    <s v="City Store"/>
    <s v="Jabalpur"/>
    <s v="Cash"/>
    <n v="0.39130434782608697"/>
  </r>
  <r>
    <s v="INV10608"/>
    <d v="2026-01-27T00:00:00"/>
    <s v="January"/>
    <x v="118"/>
    <s v="P006"/>
    <s v="Slim Jeans"/>
    <s v="Jeans"/>
    <n v="1"/>
    <n v="1350"/>
    <n v="0"/>
    <n v="1350"/>
    <n v="850"/>
    <n v="500"/>
    <s v="Priya"/>
    <s v="City Store"/>
    <s v="Jabalpur"/>
    <s v="Card"/>
    <n v="0.37037037037037002"/>
  </r>
  <r>
    <s v="INV10609"/>
    <d v="2026-02-05T00:00:00"/>
    <s v="February"/>
    <x v="40"/>
    <s v="P001"/>
    <s v="Formal Shirt"/>
    <s v="Shirts"/>
    <n v="1"/>
    <n v="850"/>
    <n v="0"/>
    <n v="850"/>
    <n v="520"/>
    <n v="330"/>
    <s v="Sandeep"/>
    <s v="City Store"/>
    <s v="Indore"/>
    <s v="UPI"/>
    <n v="0.38823529411764701"/>
  </r>
  <r>
    <s v="INV10610"/>
    <d v="2026-01-14T00:00:00"/>
    <s v="January"/>
    <x v="83"/>
    <s v="P012"/>
    <s v="Kurta"/>
    <s v="Ethnic Wear"/>
    <n v="1"/>
    <n v="900"/>
    <n v="0"/>
    <n v="900"/>
    <n v="540"/>
    <n v="360"/>
    <s v="Sandeep"/>
    <s v="City Store"/>
    <s v="Jabalpur"/>
    <s v="UPI"/>
    <n v="0.4"/>
  </r>
  <r>
    <s v="INV10611"/>
    <d v="2026-06-29T00:00:00"/>
    <s v="June"/>
    <x v="54"/>
    <s v="P003"/>
    <s v="Premium Shirt"/>
    <s v="Shirts"/>
    <n v="1"/>
    <n v="1250"/>
    <n v="50"/>
    <n v="1200"/>
    <n v="760"/>
    <n v="440"/>
    <s v="Sandeep"/>
    <s v="City Store"/>
    <s v="Jabalpur"/>
    <s v="Card"/>
    <n v="0.36666666666666697"/>
  </r>
  <r>
    <s v="INV10612"/>
    <d v="2026-01-25T00:00:00"/>
    <s v="January"/>
    <x v="22"/>
    <s v="P011"/>
    <s v="Sweatshirt"/>
    <s v="Winter Wear"/>
    <n v="3"/>
    <n v="1150"/>
    <n v="20"/>
    <n v="3430"/>
    <n v="2100"/>
    <n v="1330"/>
    <s v="Priya"/>
    <s v="City Store"/>
    <s v="Indore"/>
    <s v="UPI"/>
    <n v="0.38775510204081598"/>
  </r>
  <r>
    <s v="INV10613"/>
    <d v="2026-02-14T00:00:00"/>
    <s v="February"/>
    <x v="54"/>
    <s v="P002"/>
    <s v="Casual Shirt"/>
    <s v="Shirts"/>
    <n v="1"/>
    <n v="700"/>
    <n v="0"/>
    <n v="700"/>
    <n v="410"/>
    <n v="290"/>
    <s v="Rohit"/>
    <s v="Main Store"/>
    <s v="Bhopal"/>
    <s v="Cash"/>
    <n v="0.41428571428571398"/>
  </r>
  <r>
    <s v="INV10614"/>
    <d v="2026-04-21T00:00:00"/>
    <s v="April"/>
    <x v="100"/>
    <s v="P013"/>
    <s v="Kurta Set"/>
    <s v="Ethnic Wear"/>
    <n v="1"/>
    <n v="1500"/>
    <n v="0"/>
    <n v="1500"/>
    <n v="920"/>
    <n v="580"/>
    <s v="Amit"/>
    <s v="Main Store"/>
    <s v="Bhopal"/>
    <s v="UPI"/>
    <n v="0.38666666666666699"/>
  </r>
  <r>
    <s v="INV10615"/>
    <d v="2026-05-28T00:00:00"/>
    <s v="May"/>
    <x v="79"/>
    <s v="P006"/>
    <s v="Slim Jeans"/>
    <s v="Jeans"/>
    <n v="3"/>
    <n v="1350"/>
    <n v="50"/>
    <n v="4000"/>
    <n v="2550"/>
    <n v="1450"/>
    <s v="Priya"/>
    <s v="City Store"/>
    <s v="Indore"/>
    <s v="UPI"/>
    <n v="0.36249999999999999"/>
  </r>
  <r>
    <s v="INV10616"/>
    <d v="2026-07-05T00:00:00"/>
    <s v="July"/>
    <x v="37"/>
    <s v="P007"/>
    <s v="Regular Jeans"/>
    <s v="Jeans"/>
    <n v="2"/>
    <n v="1100"/>
    <n v="20"/>
    <n v="2180"/>
    <n v="1360"/>
    <n v="820"/>
    <s v="Sandeep"/>
    <s v="City Store"/>
    <s v="Indore"/>
    <s v="UPI"/>
    <n v="0.37614678899082599"/>
  </r>
  <r>
    <s v="INV10617"/>
    <d v="2026-05-27T00:00:00"/>
    <s v="May"/>
    <x v="7"/>
    <s v="P009"/>
    <s v="Formal Trousers"/>
    <s v="Trousers"/>
    <n v="1"/>
    <n v="1200"/>
    <n v="100"/>
    <n v="1100"/>
    <n v="730"/>
    <n v="370"/>
    <s v="Neha"/>
    <s v="Main Store"/>
    <s v="Jabalpur"/>
    <s v="Card"/>
    <n v="0.33636363636363598"/>
  </r>
  <r>
    <s v="INV10618"/>
    <d v="2026-07-06T00:00:00"/>
    <s v="July"/>
    <x v="110"/>
    <s v="P003"/>
    <s v="Premium Shirt"/>
    <s v="Shirts"/>
    <n v="4"/>
    <n v="1250"/>
    <n v="50"/>
    <n v="4950"/>
    <n v="3040"/>
    <n v="1910"/>
    <s v="Rohit"/>
    <s v="City Store"/>
    <s v="Indore"/>
    <s v="UPI"/>
    <n v="0.38585858585858601"/>
  </r>
  <r>
    <s v="INV10619"/>
    <d v="2026-06-16T00:00:00"/>
    <s v="June"/>
    <x v="45"/>
    <s v="P001"/>
    <s v="Formal Shirt"/>
    <s v="Shirts"/>
    <n v="1"/>
    <n v="850"/>
    <n v="50"/>
    <n v="800"/>
    <n v="520"/>
    <n v="280"/>
    <s v="Neha"/>
    <s v="City Store"/>
    <s v="Jabalpur"/>
    <s v="UPI"/>
    <n v="0.35"/>
  </r>
  <r>
    <s v="INV10620"/>
    <d v="2026-02-19T00:00:00"/>
    <s v="February"/>
    <x v="25"/>
    <s v="P005"/>
    <s v="Polo T-Shirt"/>
    <s v="T-Shirts"/>
    <n v="2"/>
    <n v="750"/>
    <n v="0"/>
    <n v="1500"/>
    <n v="860"/>
    <n v="640"/>
    <s v="Amit"/>
    <s v="Main Store"/>
    <s v="Bhopal"/>
    <s v="Credit"/>
    <n v="0.42666666666666703"/>
  </r>
  <r>
    <s v="INV10621"/>
    <d v="2026-07-18T00:00:00"/>
    <s v="July"/>
    <x v="77"/>
    <s v="P001"/>
    <s v="Formal Shirt"/>
    <s v="Shirts"/>
    <n v="2"/>
    <n v="850"/>
    <n v="50"/>
    <n v="1650"/>
    <n v="1040"/>
    <n v="610"/>
    <s v="Rohit"/>
    <s v="City Store"/>
    <s v="Bhopal"/>
    <s v="UPI"/>
    <n v="0.36969696969697002"/>
  </r>
  <r>
    <s v="INV10622"/>
    <d v="2026-07-14T00:00:00"/>
    <s v="July"/>
    <x v="25"/>
    <s v="P008"/>
    <s v="Cotton Trousers"/>
    <s v="Trousers"/>
    <n v="1"/>
    <n v="950"/>
    <n v="100"/>
    <n v="850"/>
    <n v="570"/>
    <n v="280"/>
    <s v="Neha"/>
    <s v="City Store"/>
    <s v="Bhopal"/>
    <s v="Cash"/>
    <n v="0.32941176470588202"/>
  </r>
  <r>
    <s v="INV10623"/>
    <d v="2026-07-01T00:00:00"/>
    <s v="July"/>
    <x v="28"/>
    <s v="P002"/>
    <s v="Casual Shirt"/>
    <s v="Shirts"/>
    <n v="2"/>
    <n v="700"/>
    <n v="0"/>
    <n v="1400"/>
    <n v="820"/>
    <n v="580"/>
    <s v="Priya"/>
    <s v="City Store"/>
    <s v="Jabalpur"/>
    <s v="UPI"/>
    <n v="0.41428571428571398"/>
  </r>
  <r>
    <s v="INV10624"/>
    <d v="2026-03-18T00:00:00"/>
    <s v="March"/>
    <x v="71"/>
    <s v="P010"/>
    <s v="Hoodie"/>
    <s v="Winter Wear"/>
    <n v="2"/>
    <n v="1450"/>
    <n v="0"/>
    <n v="2900"/>
    <n v="1800"/>
    <n v="1100"/>
    <s v="Amit"/>
    <s v="City Store"/>
    <s v="Indore"/>
    <s v="UPI"/>
    <n v="0.37931034482758602"/>
  </r>
  <r>
    <s v="INV10625"/>
    <d v="2026-07-31T00:00:00"/>
    <s v="July"/>
    <x v="5"/>
    <s v="P006"/>
    <s v="Slim Jeans"/>
    <s v="Jeans"/>
    <n v="1"/>
    <n v="1350"/>
    <n v="50"/>
    <n v="1300"/>
    <n v="850"/>
    <n v="450"/>
    <s v="Neha"/>
    <s v="Main Store"/>
    <s v="Jabalpur"/>
    <s v="Credit"/>
    <n v="0.34615384615384598"/>
  </r>
  <r>
    <s v="INV10626"/>
    <d v="2026-03-14T00:00:00"/>
    <s v="March"/>
    <x v="115"/>
    <s v="P010"/>
    <s v="Hoodie"/>
    <s v="Winter Wear"/>
    <n v="2"/>
    <n v="1450"/>
    <n v="20"/>
    <n v="2880"/>
    <n v="1800"/>
    <n v="1080"/>
    <s v="Rohit"/>
    <s v="Main Store"/>
    <s v="Indore"/>
    <s v="UPI"/>
    <n v="0.375"/>
  </r>
  <r>
    <s v="INV10627"/>
    <d v="2026-03-07T00:00:00"/>
    <s v="March"/>
    <x v="113"/>
    <s v="P002"/>
    <s v="Casual Shirt"/>
    <s v="Shirts"/>
    <n v="2"/>
    <n v="700"/>
    <n v="20"/>
    <n v="1380"/>
    <n v="820"/>
    <n v="560"/>
    <s v="Neha"/>
    <s v="City Store"/>
    <s v="Indore"/>
    <s v="UPI"/>
    <n v="0.405797101449275"/>
  </r>
  <r>
    <s v="INV10628"/>
    <d v="2026-01-15T00:00:00"/>
    <s v="January"/>
    <x v="25"/>
    <s v="P015"/>
    <s v="Kids Jeans"/>
    <s v="Kids Wear"/>
    <n v="2"/>
    <n v="800"/>
    <n v="20"/>
    <n v="1580"/>
    <n v="940"/>
    <n v="640"/>
    <s v="Sandeep"/>
    <s v="City Store"/>
    <s v="Jabalpur"/>
    <s v="UPI"/>
    <n v="0.40506329113924"/>
  </r>
  <r>
    <s v="INV10629"/>
    <d v="2026-05-26T00:00:00"/>
    <s v="May"/>
    <x v="10"/>
    <s v="P005"/>
    <s v="Polo T-Shirt"/>
    <s v="T-Shirts"/>
    <n v="1"/>
    <n v="750"/>
    <n v="0"/>
    <n v="750"/>
    <n v="430"/>
    <n v="320"/>
    <s v="Rohit"/>
    <s v="City Store"/>
    <s v="Indore"/>
    <s v="UPI"/>
    <n v="0.42666666666666703"/>
  </r>
  <r>
    <s v="INV10630"/>
    <d v="2026-01-22T00:00:00"/>
    <s v="January"/>
    <x v="120"/>
    <s v="P008"/>
    <s v="Cotton Trousers"/>
    <s v="Trousers"/>
    <n v="3"/>
    <n v="950"/>
    <n v="100"/>
    <n v="2750"/>
    <n v="1710"/>
    <n v="1040"/>
    <s v="Sandeep"/>
    <s v="City Store"/>
    <s v="Jabalpur"/>
    <s v="UPI"/>
    <n v="0.37818181818181801"/>
  </r>
  <r>
    <s v="INV10631"/>
    <d v="2026-07-14T00:00:00"/>
    <s v="July"/>
    <x v="47"/>
    <s v="P013"/>
    <s v="Kurta Set"/>
    <s v="Ethnic Wear"/>
    <n v="2"/>
    <n v="1500"/>
    <n v="100"/>
    <n v="2900"/>
    <n v="1840"/>
    <n v="1060"/>
    <s v="Sandeep"/>
    <s v="Main Store"/>
    <s v="Bhopal"/>
    <s v="Card"/>
    <n v="0.36551724137931002"/>
  </r>
  <r>
    <s v="INV10632"/>
    <d v="2026-08-11T00:00:00"/>
    <s v="August"/>
    <x v="120"/>
    <s v="P005"/>
    <s v="Polo T-Shirt"/>
    <s v="T-Shirts"/>
    <n v="2"/>
    <n v="750"/>
    <n v="20"/>
    <n v="1480"/>
    <n v="860"/>
    <n v="620"/>
    <s v="Priya"/>
    <s v="City Store"/>
    <s v="Jabalpur"/>
    <s v="Cash"/>
    <n v="0.41891891891891903"/>
  </r>
  <r>
    <s v="INV10633"/>
    <d v="2026-01-15T00:00:00"/>
    <s v="January"/>
    <x v="30"/>
    <s v="P014"/>
    <s v="Kids Shirt"/>
    <s v="Kids Wear"/>
    <n v="1"/>
    <n v="600"/>
    <n v="0"/>
    <n v="600"/>
    <n v="350"/>
    <n v="250"/>
    <s v="Amit"/>
    <s v="Main Store"/>
    <s v="Indore"/>
    <s v="Card"/>
    <n v="0.41666666666666702"/>
  </r>
  <r>
    <s v="INV10634"/>
    <d v="2026-03-28T00:00:00"/>
    <s v="March"/>
    <x v="33"/>
    <s v="P002"/>
    <s v="Casual Shirt"/>
    <s v="Shirts"/>
    <n v="1"/>
    <n v="700"/>
    <n v="75"/>
    <n v="625"/>
    <n v="410"/>
    <n v="215"/>
    <s v="Neha"/>
    <s v="City Store"/>
    <s v="Bhopal"/>
    <s v="Card"/>
    <n v="0.34399999999999997"/>
  </r>
  <r>
    <s v="INV10635"/>
    <d v="2026-03-24T00:00:00"/>
    <s v="March"/>
    <x v="89"/>
    <s v="P005"/>
    <s v="Polo T-Shirt"/>
    <s v="T-Shirts"/>
    <n v="2"/>
    <n v="750"/>
    <n v="20"/>
    <n v="1480"/>
    <n v="860"/>
    <n v="620"/>
    <s v="Sandeep"/>
    <s v="Main Store"/>
    <s v="Bhopal"/>
    <s v="Card"/>
    <n v="0.41891891891891903"/>
  </r>
  <r>
    <s v="INV10636"/>
    <d v="2026-01-22T00:00:00"/>
    <s v="January"/>
    <x v="70"/>
    <s v="P013"/>
    <s v="Kurta Set"/>
    <s v="Ethnic Wear"/>
    <n v="1"/>
    <n v="1500"/>
    <n v="20"/>
    <n v="1480"/>
    <n v="920"/>
    <n v="560"/>
    <s v="Sandeep"/>
    <s v="Main Store"/>
    <s v="Bhopal"/>
    <s v="UPI"/>
    <n v="0.37837837837837801"/>
  </r>
  <r>
    <s v="INV10637"/>
    <d v="2026-04-06T00:00:00"/>
    <s v="April"/>
    <x v="69"/>
    <s v="P007"/>
    <s v="Regular Jeans"/>
    <s v="Jeans"/>
    <n v="1"/>
    <n v="1100"/>
    <n v="0"/>
    <n v="1100"/>
    <n v="680"/>
    <n v="420"/>
    <s v="Neha"/>
    <s v="Main Store"/>
    <s v="Indore"/>
    <s v="Card"/>
    <n v="0.381818181818182"/>
  </r>
  <r>
    <s v="INV10638"/>
    <d v="2026-05-07T00:00:00"/>
    <s v="May"/>
    <x v="85"/>
    <s v="P003"/>
    <s v="Premium Shirt"/>
    <s v="Shirts"/>
    <n v="3"/>
    <n v="1250"/>
    <n v="20"/>
    <n v="3730"/>
    <n v="2280"/>
    <n v="1450"/>
    <s v="Sandeep"/>
    <s v="Main Store"/>
    <s v="Jabalpur"/>
    <s v="UPI"/>
    <n v="0.38873994638069698"/>
  </r>
  <r>
    <s v="INV10639"/>
    <d v="2026-04-22T00:00:00"/>
    <s v="April"/>
    <x v="36"/>
    <s v="P013"/>
    <s v="Kurta Set"/>
    <s v="Ethnic Wear"/>
    <n v="3"/>
    <n v="1500"/>
    <n v="20"/>
    <n v="4480"/>
    <n v="2760"/>
    <n v="1720"/>
    <s v="Amit"/>
    <s v="Main Store"/>
    <s v="Bhopal"/>
    <s v="Cash"/>
    <n v="0.38392857142857101"/>
  </r>
  <r>
    <s v="INV10640"/>
    <d v="2026-03-14T00:00:00"/>
    <s v="March"/>
    <x v="87"/>
    <s v="P012"/>
    <s v="Kurta"/>
    <s v="Ethnic Wear"/>
    <n v="2"/>
    <n v="900"/>
    <n v="50"/>
    <n v="1750"/>
    <n v="1080"/>
    <n v="670"/>
    <s v="Priya"/>
    <s v="Main Store"/>
    <s v="Indore"/>
    <s v="Credit"/>
    <n v="0.38285714285714301"/>
  </r>
  <r>
    <s v="INV10641"/>
    <d v="2026-07-07T00:00:00"/>
    <s v="July"/>
    <x v="116"/>
    <s v="P011"/>
    <s v="Sweatshirt"/>
    <s v="Winter Wear"/>
    <n v="2"/>
    <n v="1150"/>
    <n v="0"/>
    <n v="2300"/>
    <n v="1400"/>
    <n v="900"/>
    <s v="Priya"/>
    <s v="City Store"/>
    <s v="Bhopal"/>
    <s v="Cash"/>
    <n v="0.39130434782608697"/>
  </r>
  <r>
    <s v="INV10642"/>
    <d v="2026-07-19T00:00:00"/>
    <s v="July"/>
    <x v="14"/>
    <s v="P006"/>
    <s v="Slim Jeans"/>
    <s v="Jeans"/>
    <n v="1"/>
    <n v="1350"/>
    <n v="0"/>
    <n v="1350"/>
    <n v="850"/>
    <n v="500"/>
    <s v="Rohit"/>
    <s v="City Store"/>
    <s v="Bhopal"/>
    <s v="Cash"/>
    <n v="0.37037037037037002"/>
  </r>
  <r>
    <s v="INV10643"/>
    <d v="2026-07-03T00:00:00"/>
    <s v="July"/>
    <x v="86"/>
    <s v="P011"/>
    <s v="Sweatshirt"/>
    <s v="Winter Wear"/>
    <n v="1"/>
    <n v="1150"/>
    <n v="50"/>
    <n v="1100"/>
    <n v="700"/>
    <n v="400"/>
    <s v="Neha"/>
    <s v="City Store"/>
    <s v="Bhopal"/>
    <s v="Cash"/>
    <n v="0.36363636363636398"/>
  </r>
  <r>
    <s v="INV10644"/>
    <d v="2026-01-11T00:00:00"/>
    <s v="January"/>
    <x v="53"/>
    <s v="P014"/>
    <s v="Kids Shirt"/>
    <s v="Kids Wear"/>
    <n v="1"/>
    <n v="600"/>
    <n v="0"/>
    <n v="600"/>
    <n v="350"/>
    <n v="250"/>
    <s v="Rohit"/>
    <s v="Main Store"/>
    <s v="Bhopal"/>
    <s v="Cash"/>
    <n v="0.41666666666666702"/>
  </r>
  <r>
    <s v="INV10645"/>
    <d v="2026-08-08T00:00:00"/>
    <s v="August"/>
    <x v="113"/>
    <s v="P014"/>
    <s v="Kids Shirt"/>
    <s v="Kids Wear"/>
    <n v="2"/>
    <n v="600"/>
    <n v="50"/>
    <n v="1150"/>
    <n v="700"/>
    <n v="450"/>
    <s v="Neha"/>
    <s v="City Store"/>
    <s v="Bhopal"/>
    <s v="UPI"/>
    <n v="0.39130434782608697"/>
  </r>
  <r>
    <s v="INV10646"/>
    <d v="2026-03-02T00:00:00"/>
    <s v="March"/>
    <x v="37"/>
    <s v="P015"/>
    <s v="Kids Jeans"/>
    <s v="Kids Wear"/>
    <n v="1"/>
    <n v="800"/>
    <n v="50"/>
    <n v="750"/>
    <n v="470"/>
    <n v="280"/>
    <s v="Amit"/>
    <s v="City Store"/>
    <s v="Indore"/>
    <s v="Card"/>
    <n v="0.37333333333333302"/>
  </r>
  <r>
    <s v="INV10647"/>
    <d v="2026-02-15T00:00:00"/>
    <s v="February"/>
    <x v="88"/>
    <s v="P012"/>
    <s v="Kurta"/>
    <s v="Ethnic Wear"/>
    <n v="1"/>
    <n v="900"/>
    <n v="75"/>
    <n v="825"/>
    <n v="540"/>
    <n v="285"/>
    <s v="Amit"/>
    <s v="Main Store"/>
    <s v="Jabalpur"/>
    <s v="Card"/>
    <n v="0.34545454545454501"/>
  </r>
  <r>
    <s v="INV10648"/>
    <d v="2026-03-16T00:00:00"/>
    <s v="March"/>
    <x v="114"/>
    <s v="P006"/>
    <s v="Slim Jeans"/>
    <s v="Jeans"/>
    <n v="1"/>
    <n v="1350"/>
    <n v="50"/>
    <n v="1300"/>
    <n v="850"/>
    <n v="450"/>
    <s v="Amit"/>
    <s v="Main Store"/>
    <s v="Indore"/>
    <s v="UPI"/>
    <n v="0.34615384615384598"/>
  </r>
  <r>
    <s v="INV10649"/>
    <d v="2026-01-23T00:00:00"/>
    <s v="January"/>
    <x v="5"/>
    <s v="P012"/>
    <s v="Kurta"/>
    <s v="Ethnic Wear"/>
    <n v="3"/>
    <n v="900"/>
    <n v="0"/>
    <n v="2700"/>
    <n v="1620"/>
    <n v="1080"/>
    <s v="Priya"/>
    <s v="Main Store"/>
    <s v="Bhopal"/>
    <s v="UPI"/>
    <n v="0.4"/>
  </r>
  <r>
    <s v="INV10650"/>
    <d v="2026-06-13T00:00:00"/>
    <s v="June"/>
    <x v="8"/>
    <s v="P009"/>
    <s v="Formal Trousers"/>
    <s v="Trousers"/>
    <n v="1"/>
    <n v="1200"/>
    <n v="0"/>
    <n v="1200"/>
    <n v="730"/>
    <n v="470"/>
    <s v="Neha"/>
    <s v="City Store"/>
    <s v="Jabalpur"/>
    <s v="UPI"/>
    <n v="0.3916666666666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C4E662-1633-4F47-8098-5B934CD7A062}" name="PivotTable13" cacheId="12" applyNumberFormats="0" applyBorderFormats="0" applyFontFormats="0" applyPatternFormats="0" applyAlignmentFormats="0" applyWidthHeightFormats="1" dataCaption="Values" tag="6562dd49-7458-45dc-8fef-e261eb661065" updatedVersion="8" minRefreshableVersion="5" useAutoFormatting="1" itemPrintTitles="1" createdVersion="8" indent="0" outline="1" outlineData="1" multipleFieldFilters="0" chartFormat="35">
  <location ref="B132:C135" firstHeaderRow="1" firstDataRow="1" firstDataCol="1"/>
  <pivotFields count="3">
    <pivotField allDrilled="1" subtotalTop="0" showAll="0" sortType="ascending" defaultSubtotal="0" defaultAttributeDrillState="1">
      <items count="8">
        <item x="3"/>
        <item x="2"/>
        <item x="6"/>
        <item x="0"/>
        <item x="7"/>
        <item x="5"/>
        <item x="4"/>
        <item x="1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Gross Sales" fld="1" baseField="0" baseItem="0"/>
  </dataFields>
  <formats count="4">
    <format dxfId="3">
      <pivotArea type="all" dataOnly="0" outline="0" fieldPosition="0"/>
    </format>
    <format dxfId="2">
      <pivotArea outline="0" collapsedLevelsAreSubtotals="1" fieldPosition="0"/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Raw_Sales">
        <x15:activeTabTopLevelEntity name="[Raw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1ABD44-A81B-4771-83D3-672CD7F09CC6}" name="PivotTable2" cacheId="5" applyNumberFormats="0" applyBorderFormats="0" applyFontFormats="0" applyPatternFormats="0" applyAlignmentFormats="0" applyWidthHeightFormats="1" dataCaption="Values" tag="4bbc5ee0-719c-45a0-a087-6a3a271b04c1" updatedVersion="8" minRefreshableVersion="5" useAutoFormatting="1" itemPrintTitles="1" createdVersion="8" indent="0" outline="1" outlineData="1" multipleFieldFilters="0" chartFormat="34">
  <location ref="A20:B28" firstHeaderRow="1" firstDataRow="1" firstDataCol="1"/>
  <pivotFields count="3">
    <pivotField allDrilled="1" subtotalTop="0" showAll="0" sortType="ascending" defaultSubtotal="0" defaultAttributeDrillState="1">
      <items count="8">
        <item x="3"/>
        <item x="2"/>
        <item x="6"/>
        <item x="0"/>
        <item x="7"/>
        <item x="5"/>
        <item x="4"/>
        <item x="1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Gross Sales" fld="2" baseField="0" baseItem="0"/>
  </dataFields>
  <formats count="2">
    <format dxfId="5">
      <pivotArea outline="0" collapsedLevelsAreSubtotals="1" fieldPosition="0"/>
    </format>
    <format dxfId="4">
      <pivotArea dataOnly="0" labelOnly="1" outline="0" axis="axisValues" fieldPosition="0"/>
    </format>
  </formats>
  <chartFormats count="2">
    <chartFormat chart="2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Raw_Sales">
        <x15:activeTabTopLevelEntity name="[Raw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39EA2C-7239-4185-802A-22B21412DB8E}" name="PivotTable8" cacheId="10" applyNumberFormats="0" applyBorderFormats="0" applyFontFormats="0" applyPatternFormats="0" applyAlignmentFormats="0" applyWidthHeightFormats="1" dataCaption="Values" tag="6221ef53-51cb-4913-978a-767f8510189f" updatedVersion="8" minRefreshableVersion="5" useAutoFormatting="1" itemPrintTitles="1" createdVersion="8" indent="0" outline="1" outlineData="1" multipleFieldFilters="0" chartFormat="43">
  <location ref="B87:C91" firstHeaderRow="1" firstDataRow="1" firstDataCol="1"/>
  <pivotFields count="3">
    <pivotField allDrilled="1" subtotalTop="0" showAll="0" sortType="ascending" defaultSubtotal="0" defaultAttributeDrillState="1">
      <items count="8">
        <item x="3"/>
        <item x="2"/>
        <item x="6"/>
        <item x="0"/>
        <item x="7"/>
        <item x="5"/>
        <item x="4"/>
        <item x="1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Gross Sales" fld="2" baseField="0" baseItem="0"/>
  </dataFields>
  <formats count="2">
    <format dxfId="7">
      <pivotArea outline="0" collapsedLevelsAreSubtotals="1" fieldPosition="0"/>
    </format>
    <format dxfId="6">
      <pivotArea dataOnly="0" labelOnly="1" outline="0" axis="axisValues" fieldPosition="0"/>
    </format>
  </formats>
  <chartFormats count="2"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Raw_Sales">
        <x15:activeTabTopLevelEntity name="[Raw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799B98-57F2-431C-8062-3CCDC691AD9A}" name="PivotTable12" cacheId="1" applyNumberFormats="0" applyBorderFormats="0" applyFontFormats="0" applyPatternFormats="0" applyAlignmentFormats="0" applyWidthHeightFormats="1" dataCaption="Values" tag="70ba9639-9251-427c-8b26-292c70351f15" updatedVersion="8" minRefreshableVersion="5" useAutoFormatting="1" itemPrintTitles="1" createdVersion="8" indent="0" outline="1" outlineData="1" multipleFieldFilters="0" chartFormat="59">
  <location ref="B107:C123" firstHeaderRow="1" firstDataRow="1" firstDataCol="1"/>
  <pivotFields count="3">
    <pivotField allDrilled="1" subtotalTop="0" showAll="0" sortType="ascending" defaultSubtotal="0" defaultAttributeDrillState="1">
      <items count="8">
        <item x="3"/>
        <item x="2"/>
        <item x="6"/>
        <item x="0"/>
        <item x="7"/>
        <item x="5"/>
        <item x="4"/>
        <item x="1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Gross Sales" fld="1" baseField="0" baseItem="0"/>
  </dataFields>
  <formats count="4">
    <format dxfId="11">
      <pivotArea type="all" dataOnly="0" outline="0" fieldPosition="0"/>
    </format>
    <format dxfId="10">
      <pivotArea outline="0" collapsedLevelsAreSubtotals="1" fieldPosition="0"/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chartFormats count="2">
    <chartFormat chart="5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Raw_Sales">
        <x15:activeTabTopLevelEntity name="[Raw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4ED868-118B-4D19-8F37-4645245DE593}" name="PivotTable1" cacheId="2" applyNumberFormats="0" applyBorderFormats="0" applyFontFormats="0" applyPatternFormats="0" applyAlignmentFormats="0" applyWidthHeightFormats="1" dataCaption="Values" tag="b038ed55-f2ec-4a79-8e3d-b0244a49f921" updatedVersion="8" minRefreshableVersion="5" useAutoFormatting="1" subtotalHiddenItems="1" itemPrintTitles="1" createdVersion="8" indent="0" outline="1" outlineData="1" multipleFieldFilters="0" chartFormat="19">
  <location ref="A3:B12" firstHeaderRow="1" firstDataRow="1" firstDataCol="1"/>
  <pivotFields count="2">
    <pivotField axis="axisRow" allDrilled="1" subtotalTop="0" showAll="0" sortType="ascending" defaultSubtotal="0" defaultAttributeDrillState="1">
      <items count="8">
        <item x="3"/>
        <item x="2"/>
        <item x="6"/>
        <item x="0"/>
        <item x="7"/>
        <item x="5"/>
        <item x="4"/>
        <item x="1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Gross Sales" fld="1" baseField="0" baseItem="0"/>
  </dataFields>
  <formats count="2">
    <format dxfId="13">
      <pivotArea outline="0" collapsedLevelsAreSubtotals="1" fieldPosition="0"/>
    </format>
    <format dxfId="12">
      <pivotArea dataOnly="0" labelOnly="1" outline="0" axis="axisValues" fieldPosition="0"/>
    </format>
  </formats>
  <chartFormats count="2"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Raw_Sales">
        <x15:activeTabTopLevelEntity name="[Raw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E7C90-56E2-42A1-9B74-8BF4805D16B3}" name="PivotTable7" cacheId="9" applyNumberFormats="0" applyBorderFormats="0" applyFontFormats="0" applyPatternFormats="0" applyAlignmentFormats="0" applyWidthHeightFormats="1" dataCaption="Values" tag="0c5b97bd-fc38-434e-a559-1bcac6f71af8" updatedVersion="8" minRefreshableVersion="5" useAutoFormatting="1" itemPrintTitles="1" createdVersion="8" indent="0" outline="1" outlineData="1" multipleFieldFilters="0" chartFormat="35">
  <location ref="F73:G75" firstHeaderRow="1" firstDataRow="1" firstDataCol="1"/>
  <pivotFields count="3">
    <pivotField allDrilled="1" subtotalTop="0" showAll="0" sortType="ascending" defaultSubtotal="0" defaultAttributeDrillState="1">
      <items count="8">
        <item x="3"/>
        <item x="2"/>
        <item x="6"/>
        <item x="0"/>
        <item x="7"/>
        <item x="5"/>
        <item x="4"/>
        <item x="1"/>
      </items>
    </pivotField>
    <pivotField axis="axisRow" allDrilled="1" subtotalTop="0" showAll="0" measureFilter="1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1"/>
  </rowFields>
  <rowItems count="2">
    <i>
      <x/>
    </i>
    <i t="grand">
      <x/>
    </i>
  </rowItems>
  <colItems count="1">
    <i/>
  </colItems>
  <dataFields count="1">
    <dataField name="Sum of Gross Profit" fld="2" baseField="0" baseItem="0"/>
  </dataFields>
  <formats count="2">
    <format dxfId="15">
      <pivotArea outline="0" collapsedLevelsAreSubtotals="1" fieldPosition="0"/>
    </format>
    <format dxfId="14">
      <pivotArea dataOnly="0" labelOnly="1" outline="0" axis="axisValues" fieldPosition="0"/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3" iMeasureHier="42">
      <autoFilter ref="A1">
        <filterColumn colId="0">
          <top10 val="1" filterVal="1"/>
        </filterColumn>
      </autoFilter>
    </filter>
  </filters>
  <rowHierarchiesUsage count="1">
    <rowHierarchyUsage hierarchyUsage="3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Raw_Sales">
        <x15:activeTabTopLevelEntity name="[Raw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A07591-5D2A-470A-90FB-90389D515DAA}" name="PivotTable6" cacheId="8" applyNumberFormats="0" applyBorderFormats="0" applyFontFormats="0" applyPatternFormats="0" applyAlignmentFormats="0" applyWidthHeightFormats="1" dataCaption="Values" tag="e2093360-6d5f-460f-af1f-c7cd46037437" updatedVersion="8" minRefreshableVersion="5" useAutoFormatting="1" itemPrintTitles="1" createdVersion="8" indent="0" outline="1" outlineData="1" multipleFieldFilters="0" chartFormat="43">
  <location ref="B73:C80" firstHeaderRow="1" firstDataRow="1" firstDataCol="1"/>
  <pivotFields count="3">
    <pivotField allDrilled="1" subtotalTop="0" showAll="0" sortType="ascending" defaultSubtotal="0" defaultAttributeDrillState="1">
      <items count="8">
        <item x="3"/>
        <item x="2"/>
        <item x="6"/>
        <item x="0"/>
        <item x="7"/>
        <item x="5"/>
        <item x="4"/>
        <item x="1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Gross Profit" fld="2" baseField="0" baseItem="0"/>
  </dataFields>
  <formats count="2">
    <format dxfId="17">
      <pivotArea outline="0" collapsedLevelsAreSubtotals="1" fieldPosition="0"/>
    </format>
    <format dxfId="16">
      <pivotArea dataOnly="0" labelOnly="1" outline="0" axis="axisValues" fieldPosition="0"/>
    </format>
  </formats>
  <chartFormats count="2">
    <chartFormat chart="3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Raw_Sales">
        <x15:activeTabTopLevelEntity name="[Raw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3696FF-C5FD-44B1-BAE4-9D7DB6A07BDA}" name="PivotTable11" cacheId="4" applyNumberFormats="0" applyBorderFormats="0" applyFontFormats="0" applyPatternFormats="0" applyAlignmentFormats="0" applyWidthHeightFormats="1" dataCaption="Values" tag="597debe7-e02e-4265-9858-fb0e055e5eed" updatedVersion="8" minRefreshableVersion="5" useAutoFormatting="1" rowGrandTotals="0" itemPrintTitles="1" createdVersion="8" indent="0" outline="1" outlineData="1" multipleFieldFilters="0" chartFormat="35">
  <location ref="E99:F100" firstHeaderRow="1" firstDataRow="1" firstDataCol="1"/>
  <pivotFields count="3">
    <pivotField allDrilled="1" subtotalTop="0" showAll="0" sortType="ascending" defaultSubtotal="0" defaultAttributeDrillState="1">
      <items count="8">
        <item x="3"/>
        <item x="2"/>
        <item x="6"/>
        <item x="0"/>
        <item x="7"/>
        <item x="5"/>
        <item x="4"/>
        <item x="1"/>
      </items>
    </pivotField>
    <pivotField axis="axisRow" allDrilled="1" subtotalTop="0" showAll="0" measureFilter="1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1"/>
  </rowFields>
  <rowItems count="1">
    <i>
      <x/>
    </i>
  </rowItems>
  <colItems count="1">
    <i/>
  </colItems>
  <dataFields count="1">
    <dataField name="Count of Payment Method" fld="2" subtotal="count" baseField="1" baseItem="0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4" iMeasureHier="43">
      <autoFilter ref="A1">
        <filterColumn colId="0">
          <top10 val="1" filterVal="1"/>
        </filterColumn>
      </autoFilter>
    </filter>
  </filters>
  <rowHierarchiesUsage count="1">
    <rowHierarchyUsage hierarchyUsage="3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Raw_Sales">
        <x15:activeTabTopLevelEntity name="[Raw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4D1189-8E9D-4245-A396-4A400933760D}" name="PivotTable5" cacheId="7" applyNumberFormats="0" applyBorderFormats="0" applyFontFormats="0" applyPatternFormats="0" applyAlignmentFormats="0" applyWidthHeightFormats="1" dataCaption="Values" tag="05001814-353c-46b5-a798-02134f5c17fc" updatedVersion="8" minRefreshableVersion="5" useAutoFormatting="1" itemPrintTitles="1" createdVersion="8" indent="0" outline="1" outlineData="1" multipleFieldFilters="0" chartFormat="44">
  <location ref="G54:H61" firstHeaderRow="1" firstDataRow="1" firstDataCol="1"/>
  <pivotFields count="3">
    <pivotField allDrilled="1" subtotalTop="0" showAll="0" sortType="ascending" defaultSubtotal="0" defaultAttributeDrillState="1">
      <items count="8">
        <item x="3"/>
        <item x="2"/>
        <item x="6"/>
        <item x="0"/>
        <item x="7"/>
        <item x="5"/>
        <item x="4"/>
        <item x="1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Gross Sales" fld="2" baseField="0" baseItem="0"/>
  </dataFields>
  <formats count="2">
    <format dxfId="25">
      <pivotArea outline="0" collapsedLevelsAreSubtotals="1" fieldPosition="0"/>
    </format>
    <format dxfId="24">
      <pivotArea dataOnly="0" labelOnly="1" outline="0" axis="axisValues" fieldPosition="0"/>
    </format>
  </formats>
  <chartFormats count="2">
    <chartFormat chart="3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Raw_Sales">
        <x15:activeTabTopLevelEntity name="[Raw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6264CE-BA03-4111-B425-288D2FD2C16D}" name="PivotTable10" cacheId="3" applyNumberFormats="0" applyBorderFormats="0" applyFontFormats="0" applyPatternFormats="0" applyAlignmentFormats="0" applyWidthHeightFormats="1" dataCaption="Values" tag="0de8f9b1-c3fd-452a-9e50-66d8c7ecd840" updatedVersion="8" minRefreshableVersion="5" useAutoFormatting="1" itemPrintTitles="1" createdVersion="8" indent="0" outline="1" outlineData="1" multipleFieldFilters="0" chartFormat="49">
  <location ref="B99:C104" firstHeaderRow="1" firstDataRow="1" firstDataCol="1"/>
  <pivotFields count="3">
    <pivotField allDrilled="1" subtotalTop="0" showAll="0" sortType="ascending" defaultSubtotal="0" defaultAttributeDrillState="1">
      <items count="8">
        <item x="3"/>
        <item x="2"/>
        <item x="6"/>
        <item x="0"/>
        <item x="7"/>
        <item x="5"/>
        <item x="4"/>
        <item x="1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ayment Method" fld="2" subtotal="count" baseField="1" baseItem="0"/>
  </dataFields>
  <formats count="6"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1" type="button" dataOnly="0" labelOnly="1" outline="0" axis="axisRow" fieldPosition="0"/>
    </format>
    <format dxfId="28">
      <pivotArea dataOnly="0" labelOnly="1" fieldPosition="0">
        <references count="1">
          <reference field="1" count="0"/>
        </references>
      </pivotArea>
    </format>
    <format dxfId="27">
      <pivotArea dataOnly="0" labelOnly="1" grandRow="1" outline="0" fieldPosition="0"/>
    </format>
    <format dxfId="26">
      <pivotArea dataOnly="0" labelOnly="1" outline="0" axis="axisValues" fieldPosition="0"/>
    </format>
  </formats>
  <chartFormats count="12"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8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8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8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3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3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3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3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Raw_Sales">
        <x15:activeTabTopLevelEntity name="[Raw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45E10A-1FCA-4B8E-9D74-62514E8A7EE0}" name="PivotTable4" cacheId="6" applyNumberFormats="0" applyBorderFormats="0" applyFontFormats="0" applyPatternFormats="0" applyAlignmentFormats="0" applyWidthHeightFormats="1" dataCaption="Values" tag="990bc62a-cb91-457e-b2b7-019a900db454" updatedVersion="8" minRefreshableVersion="5" useAutoFormatting="1" itemPrintTitles="1" createdVersion="8" indent="0" outline="1" outlineData="1" multipleFieldFilters="0" chartFormat="35">
  <location ref="A53:B55" firstHeaderRow="1" firstDataRow="1" firstDataCol="1"/>
  <pivotFields count="3">
    <pivotField allDrilled="1" subtotalTop="0" showAll="0" sortType="ascending" defaultSubtotal="0" defaultAttributeDrillState="1">
      <items count="8">
        <item x="3"/>
        <item x="2"/>
        <item x="6"/>
        <item x="0"/>
        <item x="7"/>
        <item x="5"/>
        <item x="4"/>
        <item x="1"/>
      </items>
    </pivotField>
    <pivotField axis="axisRow" allDrilled="1" subtotalTop="0" showAll="0" measureFilter="1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1"/>
  </rowFields>
  <rowItems count="2">
    <i>
      <x/>
    </i>
    <i t="grand">
      <x/>
    </i>
  </rowItems>
  <colItems count="1">
    <i/>
  </colItems>
  <dataFields count="1">
    <dataField name="Sum of Gross Sales" fld="2" baseField="0" baseItem="0"/>
  </dataFields>
  <formats count="2">
    <format dxfId="33">
      <pivotArea outline="0" collapsedLevelsAreSubtotals="1" fieldPosition="0"/>
    </format>
    <format dxfId="32">
      <pivotArea dataOnly="0" labelOnly="1" outline="0" axis="axisValues" fieldPosition="0"/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3" iMeasureHier="41">
      <autoFilter ref="A1">
        <filterColumn colId="0">
          <top10 val="1" filterVal="1"/>
        </filterColumn>
      </autoFilter>
    </filter>
  </filters>
  <rowHierarchiesUsage count="1">
    <rowHierarchyUsage hierarchyUsage="3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Raw_Sales">
        <x15:activeTabTopLevelEntity name="[Raw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55314-B57A-4786-BBB4-A09EC4224586}" name="PivotTable9" cacheId="11" applyNumberFormats="0" applyBorderFormats="0" applyFontFormats="0" applyPatternFormats="0" applyAlignmentFormats="0" applyWidthHeightFormats="1" dataCaption="Values" tag="8f988572-c3f6-4e1e-a426-b1ddb85f4ee2" updatedVersion="8" minRefreshableVersion="5" useAutoFormatting="1" rowGrandTotals="0" itemPrintTitles="1" createdVersion="8" indent="0" outline="1" outlineData="1" multipleFieldFilters="0" chartFormat="35">
  <location ref="E87:F88" firstHeaderRow="1" firstDataRow="1" firstDataCol="1"/>
  <pivotFields count="3">
    <pivotField allDrilled="1" subtotalTop="0" showAll="0" sortType="ascending" defaultSubtotal="0" defaultAttributeDrillState="1">
      <items count="8">
        <item x="3"/>
        <item x="2"/>
        <item x="6"/>
        <item x="0"/>
        <item x="7"/>
        <item x="5"/>
        <item x="4"/>
        <item x="1"/>
      </items>
    </pivotField>
    <pivotField axis="axisRow" allDrilled="1" subtotalTop="0" showAll="0" measureFilter="1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1"/>
  </rowFields>
  <rowItems count="1">
    <i>
      <x/>
    </i>
  </rowItems>
  <colItems count="1">
    <i/>
  </colItems>
  <dataFields count="1">
    <dataField name="Sum of Gross Sales" fld="2" baseField="0" baseItem="0"/>
  </dataFields>
  <formats count="2">
    <format dxfId="35">
      <pivotArea outline="0" collapsedLevelsAreSubtotals="1" fieldPosition="0"/>
    </format>
    <format dxfId="34">
      <pivotArea dataOnly="0" labelOnly="1" outline="0" axis="axisValues" fieldPosition="0"/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4" iMeasureHier="41">
      <autoFilter ref="A1">
        <filterColumn colId="0">
          <top10 val="1" filterVal="1"/>
        </filterColumn>
      </autoFilter>
    </filter>
  </filters>
  <rowHierarchiesUsage count="1">
    <rowHierarchyUsage hierarchyUsage="3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Raw_Sales">
        <x15:activeTabTopLevelEntity name="[Raw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8D4A22-79A7-43E3-B2BC-3D00401B66FC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31:H142" firstHeaderRow="1" firstDataRow="1" firstDataCol="1"/>
  <pivotFields count="18">
    <pivotField showAll="0"/>
    <pivotField numFmtId="14" showAll="0"/>
    <pivotField showAll="0"/>
    <pivotField axis="axisRow" showAll="0" measureFilter="1" sortType="descending">
      <items count="122">
        <item x="103"/>
        <item x="71"/>
        <item x="117"/>
        <item x="20"/>
        <item x="45"/>
        <item x="110"/>
        <item x="64"/>
        <item x="5"/>
        <item x="48"/>
        <item x="27"/>
        <item x="29"/>
        <item x="89"/>
        <item x="67"/>
        <item x="17"/>
        <item x="93"/>
        <item x="7"/>
        <item x="49"/>
        <item x="33"/>
        <item x="75"/>
        <item x="52"/>
        <item x="68"/>
        <item x="76"/>
        <item x="65"/>
        <item x="23"/>
        <item x="18"/>
        <item x="114"/>
        <item x="73"/>
        <item x="15"/>
        <item x="31"/>
        <item x="3"/>
        <item x="91"/>
        <item x="44"/>
        <item x="9"/>
        <item x="10"/>
        <item x="21"/>
        <item x="66"/>
        <item x="40"/>
        <item x="112"/>
        <item x="86"/>
        <item x="107"/>
        <item x="62"/>
        <item x="96"/>
        <item x="118"/>
        <item x="120"/>
        <item x="60"/>
        <item x="115"/>
        <item x="69"/>
        <item x="83"/>
        <item x="111"/>
        <item x="19"/>
        <item x="81"/>
        <item x="22"/>
        <item x="39"/>
        <item x="37"/>
        <item x="90"/>
        <item x="70"/>
        <item x="113"/>
        <item x="97"/>
        <item x="72"/>
        <item x="38"/>
        <item x="0"/>
        <item x="92"/>
        <item x="16"/>
        <item x="85"/>
        <item x="116"/>
        <item x="63"/>
        <item x="105"/>
        <item x="82"/>
        <item x="88"/>
        <item x="95"/>
        <item x="36"/>
        <item x="35"/>
        <item x="55"/>
        <item x="12"/>
        <item x="56"/>
        <item x="108"/>
        <item x="104"/>
        <item x="30"/>
        <item x="119"/>
        <item x="14"/>
        <item x="98"/>
        <item x="84"/>
        <item x="87"/>
        <item x="53"/>
        <item x="59"/>
        <item x="100"/>
        <item x="51"/>
        <item x="41"/>
        <item x="24"/>
        <item x="32"/>
        <item x="101"/>
        <item x="28"/>
        <item x="43"/>
        <item x="94"/>
        <item x="57"/>
        <item x="61"/>
        <item x="109"/>
        <item x="1"/>
        <item x="47"/>
        <item x="99"/>
        <item x="2"/>
        <item x="26"/>
        <item x="54"/>
        <item x="106"/>
        <item x="34"/>
        <item x="50"/>
        <item x="80"/>
        <item x="8"/>
        <item x="102"/>
        <item x="25"/>
        <item x="78"/>
        <item x="46"/>
        <item x="79"/>
        <item x="6"/>
        <item x="74"/>
        <item x="58"/>
        <item x="11"/>
        <item x="42"/>
        <item x="4"/>
        <item x="77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0" showAll="0"/>
  </pivotFields>
  <rowFields count="1">
    <field x="3"/>
  </rowFields>
  <rowItems count="11">
    <i>
      <x v="89"/>
    </i>
    <i>
      <x v="104"/>
    </i>
    <i>
      <x v="1"/>
    </i>
    <i>
      <x v="100"/>
    </i>
    <i>
      <x v="28"/>
    </i>
    <i>
      <x v="63"/>
    </i>
    <i>
      <x v="106"/>
    </i>
    <i>
      <x v="81"/>
    </i>
    <i>
      <x v="17"/>
    </i>
    <i>
      <x v="118"/>
    </i>
    <i t="grand">
      <x/>
    </i>
  </rowItems>
  <colItems count="1">
    <i/>
  </colItems>
  <dataFields count="1">
    <dataField name="Sum of Gross Sales" fld="10" baseField="0" baseItem="0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42D8B0FD-E664-47AC-B457-0677BFB4B095}" autoFormatId="16" applyNumberFormats="0" applyBorderFormats="0" applyFontFormats="0" applyPatternFormats="0" applyAlignmentFormats="0" applyWidthHeightFormats="0">
  <queryTableRefresh nextId="26">
    <queryTableFields count="18">
      <queryTableField id="1" name="Invoice ID" tableColumnId="1"/>
      <queryTableField id="2" name="Date" tableColumnId="2"/>
      <queryTableField id="16" name="Month Name" tableColumnId="16"/>
      <queryTableField id="3" name="Customer ID" tableColumnId="3"/>
      <queryTableField id="4" name="Product ID" tableColumnId="4"/>
      <queryTableField id="5" name="Product" tableColumnId="5"/>
      <queryTableField id="6" name="Category" tableColumnId="6"/>
      <queryTableField id="7" name="Quantity" tableColumnId="7"/>
      <queryTableField id="8" name="Unit Price" tableColumnId="8"/>
      <queryTableField id="9" name="Discount" tableColumnId="9"/>
      <queryTableField id="19" name="Gross Sales" tableColumnId="18"/>
      <queryTableField id="20" name="COst of Goods" tableColumnId="19"/>
      <queryTableField id="21" name="Gross Profit " tableColumnId="20"/>
      <queryTableField id="12" name="Salesperson" tableColumnId="12"/>
      <queryTableField id="13" name="Store" tableColumnId="13"/>
      <queryTableField id="14" name="City" tableColumnId="14"/>
      <queryTableField id="15" name="Payment Method" tableColumnId="15"/>
      <queryTableField id="25" name="Custom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8AB6CEF7-97B7-4677-94C6-70EEA3E865B8}" autoFormatId="16" applyNumberFormats="0" applyBorderFormats="0" applyFontFormats="0" applyPatternFormats="0" applyAlignmentFormats="0" applyWidthHeightFormats="0">
  <queryTableRefresh nextId="10">
    <queryTableFields count="9">
      <queryTableField id="1" name="Purchase ID" tableColumnId="1"/>
      <queryTableField id="2" name="Date" tableColumnId="2"/>
      <queryTableField id="3" name="Product ID" tableColumnId="3"/>
      <queryTableField id="4" name="Product" tableColumnId="4"/>
      <queryTableField id="5" name="Category" tableColumnId="5"/>
      <queryTableField id="6" name="Quantity" tableColumnId="6"/>
      <queryTableField id="7" name="Unit Cost" tableColumnId="7"/>
      <queryTableField id="8" name="Purchase Amount" tableColumnId="8"/>
      <queryTableField id="9" name="Supplier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22D4587D-B4FA-48C7-B185-954A884054FA}" autoFormatId="16" applyNumberFormats="0" applyBorderFormats="0" applyFontFormats="0" applyPatternFormats="0" applyAlignmentFormats="0" applyWidthHeightFormats="0">
  <queryTableRefresh nextId="6">
    <queryTableFields count="5">
      <queryTableField id="1" name="Expense ID" tableColumnId="1"/>
      <queryTableField id="2" name="Date" tableColumnId="2"/>
      <queryTableField id="3" name="Expense Category" tableColumnId="3"/>
      <queryTableField id="4" name="Amount" tableColumnId="4"/>
      <queryTableField id="5" name="Store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635DA3C6-8504-47B4-9CA9-5EDC3D042521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No" tableColumnId="1"/>
      <queryTableField id="2" name="Manager Question" tableColumnId="2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4F3F0AA-A08B-46BE-8DA2-CC6EC4E58F5A}" name="Raw_Sales" displayName="Raw_Sales" ref="A1:R651" tableType="queryTable" totalsRowShown="0">
  <autoFilter ref="A1:R651" xr:uid="{D4F3F0AA-A08B-46BE-8DA2-CC6EC4E58F5A}">
    <filterColumn colId="6">
      <filters>
        <filter val="Jeans"/>
      </filters>
    </filterColumn>
  </autoFilter>
  <tableColumns count="18">
    <tableColumn id="1" xr3:uid="{B2231AEA-6D15-4B57-A825-B432EF3A5076}" uniqueName="1" name="Invoice ID" queryTableFieldId="1" dataDxfId="75"/>
    <tableColumn id="2" xr3:uid="{90C7BCEE-9FDA-41ED-88DA-EA8A094F5C7A}" uniqueName="2" name="Date" queryTableFieldId="2" dataDxfId="74"/>
    <tableColumn id="16" xr3:uid="{E8879091-C410-42B8-98F5-E9A8956D6282}" uniqueName="16" name="Month Name" queryTableFieldId="16" dataDxfId="73"/>
    <tableColumn id="3" xr3:uid="{F91BD972-623A-4AEC-9186-855137E0E957}" uniqueName="3" name="Customer ID" queryTableFieldId="3" dataDxfId="72"/>
    <tableColumn id="4" xr3:uid="{FB8A8EBD-0EA9-4B51-BA80-CF5FAC73C9D6}" uniqueName="4" name="Product ID" queryTableFieldId="4" dataDxfId="71"/>
    <tableColumn id="5" xr3:uid="{7A2161D2-2BA7-494A-BA3F-9261813AF0AA}" uniqueName="5" name="Product" queryTableFieldId="5" dataDxfId="70"/>
    <tableColumn id="6" xr3:uid="{1B3332AD-28B5-43BE-972F-B90B865F87CA}" uniqueName="6" name="Category" queryTableFieldId="6" dataDxfId="69"/>
    <tableColumn id="7" xr3:uid="{46FAED32-63B8-496D-937D-C9D1862E2157}" uniqueName="7" name="Quantity" queryTableFieldId="7"/>
    <tableColumn id="8" xr3:uid="{614A9593-698E-4E35-A962-3A09745BCD9F}" uniqueName="8" name="Unit Price" queryTableFieldId="8"/>
    <tableColumn id="9" xr3:uid="{1DC5460B-69E6-45C2-84F6-8BAE535F0CA8}" uniqueName="9" name="Discount" queryTableFieldId="9"/>
    <tableColumn id="18" xr3:uid="{DF6C8AA2-FC80-4A30-A9C2-A12A53E1EDD9}" uniqueName="18" name="Gross Sales" queryTableFieldId="19"/>
    <tableColumn id="19" xr3:uid="{7C0F733F-5D90-4496-A832-067AB37E9A1D}" uniqueName="19" name="COst of Goods" queryTableFieldId="20"/>
    <tableColumn id="20" xr3:uid="{15D7A439-CF58-4AF8-9E21-C07508F31EF3}" uniqueName="20" name="Gross Profit " queryTableFieldId="21"/>
    <tableColumn id="12" xr3:uid="{88AA7AC2-D100-43FF-9429-F9BFEC2BAC4A}" uniqueName="12" name="Salesperson" queryTableFieldId="12" dataDxfId="68"/>
    <tableColumn id="13" xr3:uid="{645E5C03-3CD1-4282-9899-A800FFDAB865}" uniqueName="13" name="Store" queryTableFieldId="13" dataDxfId="67"/>
    <tableColumn id="14" xr3:uid="{3FB4A0C3-B591-4067-86C4-0A3D8D5FA019}" uniqueName="14" name="City" queryTableFieldId="14" dataDxfId="66"/>
    <tableColumn id="15" xr3:uid="{908D36CC-602C-47C9-AA40-37A5AD3CE4C0}" uniqueName="15" name="Payment Method" queryTableFieldId="15" dataDxfId="65"/>
    <tableColumn id="21" xr3:uid="{B3F33A20-4133-477A-8117-A86B0EEA9EB0}" uniqueName="21" name="Custom" queryTableFieldId="25" dataDxfId="6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A3AF1BA-9A6F-4ED6-9441-F9A3BD61458B}" name="Table79" displayName="Table79" ref="S1:U1048576" totalsRowShown="0" headerRowDxfId="63" headerRowBorderDxfId="62" tableBorderDxfId="61">
  <autoFilter ref="S1:U1048576" xr:uid="{CA3AF1BA-9A6F-4ED6-9441-F9A3BD61458B}"/>
  <tableColumns count="3">
    <tableColumn id="1" xr3:uid="{D6CE9B79-36FA-47C5-B102-4CF05F1F0E56}" name="Column1"/>
    <tableColumn id="2" xr3:uid="{3CD7628B-B272-4CED-8746-BA82E5C23CB3}" name="Column2"/>
    <tableColumn id="3" xr3:uid="{C2AD5248-5099-4DD7-9C27-7CB43FE00E71}" name="Column3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037234A-1236-4B2C-AEDB-834D0773D4AC}" name="Purchases" displayName="Purchases" ref="A1:I182" tableType="queryTable" totalsRowCount="1">
  <autoFilter ref="A1:I181" xr:uid="{5037234A-1236-4B2C-AEDB-834D0773D4AC}"/>
  <tableColumns count="9">
    <tableColumn id="1" xr3:uid="{65A97E09-8BC8-49F9-A057-F1449E92585D}" uniqueName="1" name="Purchase ID" totalsRowLabel="TOTAL" queryTableFieldId="1" dataDxfId="60" totalsRowDxfId="59"/>
    <tableColumn id="2" xr3:uid="{405014CF-D75F-4FB2-A9E4-643D953EA87C}" uniqueName="2" name="Date" queryTableFieldId="2" dataDxfId="58" totalsRowDxfId="57"/>
    <tableColumn id="3" xr3:uid="{56722BD3-2124-4520-9B27-6398DD49E2AE}" uniqueName="3" name="Product ID" queryTableFieldId="3" dataDxfId="56" totalsRowDxfId="55"/>
    <tableColumn id="4" xr3:uid="{64E65691-C2F8-43B6-8588-2907654F8257}" uniqueName="4" name="Product" queryTableFieldId="4" dataDxfId="54" totalsRowDxfId="53"/>
    <tableColumn id="5" xr3:uid="{E2A551B9-D4D7-45D3-9908-10FF2DDC7570}" uniqueName="5" name="Category" queryTableFieldId="5" dataDxfId="52" totalsRowDxfId="51"/>
    <tableColumn id="6" xr3:uid="{46CCBCFC-AFC2-4ACD-AE8F-FB7FD4CB362D}" uniqueName="6" name="Quantity" totalsRowFunction="custom" queryTableFieldId="6">
      <totalsRowFormula>SUM(F2:F181)</totalsRowFormula>
    </tableColumn>
    <tableColumn id="7" xr3:uid="{DA74099B-6816-48AA-9B2D-908E513C230B}" uniqueName="7" name="Unit Cost" queryTableFieldId="7"/>
    <tableColumn id="8" xr3:uid="{308CE5AB-F4FF-4A28-8CE0-872F1E9F9CEA}" uniqueName="8" name="Purchase Amount" totalsRowFunction="custom" queryTableFieldId="8">
      <totalsRowFormula>SUM(H2:H181)</totalsRowFormula>
    </tableColumn>
    <tableColumn id="9" xr3:uid="{95D35BD1-8626-468D-976A-B01E50E29386}" uniqueName="9" name="Supplier" queryTableFieldId="9" dataDxfId="50" totalsRowDxfId="4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C851A4-822D-4038-A85A-954BDDC8C7D2}" name="Expenses" displayName="Expenses" ref="A1:E62" tableType="queryTable" totalsRowCount="1">
  <autoFilter ref="A1:E61" xr:uid="{E2C851A4-822D-4038-A85A-954BDDC8C7D2}"/>
  <tableColumns count="5">
    <tableColumn id="1" xr3:uid="{8E4C8E33-EE67-4723-B8CD-EC9513E072E4}" uniqueName="1" name="Expense ID" queryTableFieldId="1" dataDxfId="48" totalsRowDxfId="47"/>
    <tableColumn id="2" xr3:uid="{6D3B8E63-FAA7-4767-9B4D-2416F3076094}" uniqueName="2" name="Date" queryTableFieldId="2" dataDxfId="46" totalsRowDxfId="45"/>
    <tableColumn id="3" xr3:uid="{90846F46-F278-45F3-9D94-3C472D4964F5}" uniqueName="3" name="Expense Category" queryTableFieldId="3" dataDxfId="44" totalsRowDxfId="43"/>
    <tableColumn id="4" xr3:uid="{9F80C2D3-F4E2-4A91-92C8-E010A38CC099}" uniqueName="4" name="Amount" totalsRowFunction="custom" queryTableFieldId="4">
      <totalsRowFormula>SUM(D2:D61)</totalsRowFormula>
    </tableColumn>
    <tableColumn id="5" xr3:uid="{37B96D2C-1393-4205-BC60-D12A6988BD47}" uniqueName="5" name="Store" queryTableFieldId="5" dataDxfId="42" totalsRowDxfId="4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C16630F-D9A4-4B28-8E8A-C99C3B45BF4A}" name="Table7" displayName="Table7" ref="A1:C1048576" totalsRowShown="0" headerRowDxfId="40" headerRowBorderDxfId="39" tableBorderDxfId="38">
  <autoFilter ref="A1:C1048576" xr:uid="{FC16630F-D9A4-4B28-8E8A-C99C3B45BF4A}"/>
  <tableColumns count="3">
    <tableColumn id="1" xr3:uid="{6089C462-AD8E-4529-845D-79F519D290AF}" name="Customer ID"/>
    <tableColumn id="2" xr3:uid="{7C4854DB-754B-4CF2-8735-F8EFAE58FC9C}" name="Customer Name"/>
    <tableColumn id="3" xr3:uid="{4FBD4DEB-3B6A-4DC2-B710-120BEE3FFC45}" name="City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F371CB-036F-46E1-9B2F-2994D65CAFF8}" name="Manager_Questions" displayName="Manager_Questions" ref="A1:C9" tableType="queryTable" totalsRowShown="0">
  <autoFilter ref="A1:C9" xr:uid="{95F371CB-036F-46E1-9B2F-2994D65CAFF8}"/>
  <tableColumns count="3">
    <tableColumn id="1" xr3:uid="{4BEF971F-4057-4D8C-9C52-7033E74E6612}" uniqueName="1" name="No" queryTableFieldId="1"/>
    <tableColumn id="2" xr3:uid="{1A593CDA-91DC-4ECB-A4D7-41D53A6EA984}" uniqueName="2" name="Manager Question" queryTableFieldId="2" dataDxfId="37"/>
    <tableColumn id="3" xr3:uid="{2AC627AA-96EB-408A-8A91-6512F1DDD08B}" uniqueName="3" name="ANSWERS I FOUND " queryTableFieldId="3" dataDxfId="3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Date" xr10:uid="{C0DAAED7-6703-4D13-8BF3-225709520B50}" sourceName="[Raw_Sales].[Date]">
  <pivotTables>
    <pivotTable tabId="7" name="PivotTable12"/>
    <pivotTable tabId="7" name="PivotTable1"/>
    <pivotTable tabId="7" name="PivotTable10"/>
    <pivotTable tabId="7" name="PivotTable11"/>
    <pivotTable tabId="7" name="PivotTable13"/>
    <pivotTable tabId="7" name="PivotTable2"/>
    <pivotTable tabId="7" name="PivotTable4"/>
    <pivotTable tabId="7" name="PivotTable5"/>
    <pivotTable tabId="7" name="PivotTable6"/>
    <pivotTable tabId="7" name="PivotTable7"/>
    <pivotTable tabId="7" name="PivotTable8"/>
    <pivotTable tabId="7" name="PivotTable9"/>
  </pivotTables>
  <state minimalRefreshVersion="6" lastRefreshVersion="6" pivotCacheId="2093499744" filterType="unknown"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DB5C80A6-2308-42D3-89A9-9B146E3153D2}" cache="Timeline_Date" caption="Date" level="2" selectionLevel="2" scrollPosition="2026-01-01T00:00:00"/>
</timelines>
</file>

<file path=xl/worksheets/_rels/sheet1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8F914-C619-49D0-9F04-AEC105C3A764}">
  <dimension ref="A1"/>
  <sheetViews>
    <sheetView tabSelected="1" topLeftCell="B4" zoomScale="56" zoomScaleNormal="70" workbookViewId="0">
      <selection activeCell="AM31" sqref="AM31"/>
    </sheetView>
  </sheetViews>
  <sheetFormatPr defaultRowHeight="14.4" x14ac:dyDescent="0.3"/>
  <cols>
    <col min="1" max="16384" width="8.88671875" style="18"/>
  </cols>
  <sheetData/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F6B6C-D130-424D-B80C-C1CD163EEE30}">
  <dimension ref="A1:U651"/>
  <sheetViews>
    <sheetView topLeftCell="A7" zoomScale="40" zoomScaleNormal="40" workbookViewId="0">
      <selection activeCell="D123" sqref="D123"/>
    </sheetView>
  </sheetViews>
  <sheetFormatPr defaultRowHeight="14.4" x14ac:dyDescent="0.3"/>
  <cols>
    <col min="1" max="1" width="12.21875" bestFit="1" customWidth="1"/>
    <col min="2" max="2" width="10.33203125" bestFit="1" customWidth="1"/>
    <col min="3" max="3" width="15.109375" bestFit="1" customWidth="1"/>
    <col min="4" max="4" width="14.33203125" bestFit="1" customWidth="1"/>
    <col min="5" max="5" width="12.6640625" style="2" bestFit="1" customWidth="1"/>
    <col min="6" max="6" width="14.88671875" bestFit="1" customWidth="1"/>
    <col min="7" max="7" width="11.88671875" bestFit="1" customWidth="1"/>
    <col min="8" max="8" width="11.21875" bestFit="1" customWidth="1"/>
    <col min="9" max="9" width="12.21875" bestFit="1" customWidth="1"/>
    <col min="10" max="10" width="11.21875" bestFit="1" customWidth="1"/>
    <col min="11" max="11" width="13.44140625" bestFit="1" customWidth="1"/>
    <col min="12" max="12" width="16.109375" bestFit="1" customWidth="1"/>
    <col min="13" max="13" width="14.33203125" bestFit="1" customWidth="1"/>
    <col min="14" max="14" width="14.109375" bestFit="1" customWidth="1"/>
    <col min="15" max="15" width="10.21875" bestFit="1" customWidth="1"/>
    <col min="16" max="16" width="8.21875" customWidth="1"/>
    <col min="17" max="17" width="18.88671875" bestFit="1" customWidth="1"/>
    <col min="18" max="18" width="10.21875" style="14" bestFit="1" customWidth="1"/>
    <col min="19" max="19" width="13.21875" customWidth="1"/>
    <col min="20" max="20" width="16.44140625" customWidth="1"/>
  </cols>
  <sheetData>
    <row r="1" spans="1:21" x14ac:dyDescent="0.3">
      <c r="A1" t="s">
        <v>561</v>
      </c>
      <c r="B1" t="s">
        <v>260</v>
      </c>
      <c r="C1" t="s">
        <v>1229</v>
      </c>
      <c r="D1" t="s">
        <v>3</v>
      </c>
      <c r="E1" t="s">
        <v>333</v>
      </c>
      <c r="F1" s="2" t="s">
        <v>334</v>
      </c>
      <c r="G1" t="s">
        <v>335</v>
      </c>
      <c r="H1" t="s">
        <v>336</v>
      </c>
      <c r="I1" t="s">
        <v>562</v>
      </c>
      <c r="J1" t="s">
        <v>563</v>
      </c>
      <c r="K1" t="s">
        <v>1245</v>
      </c>
      <c r="L1" t="s">
        <v>1246</v>
      </c>
      <c r="M1" t="s">
        <v>1247</v>
      </c>
      <c r="N1" t="s">
        <v>564</v>
      </c>
      <c r="O1" t="s">
        <v>263</v>
      </c>
      <c r="P1" t="s">
        <v>5</v>
      </c>
      <c r="Q1" t="s">
        <v>565</v>
      </c>
      <c r="R1" s="14" t="s">
        <v>1256</v>
      </c>
      <c r="S1" t="s">
        <v>0</v>
      </c>
      <c r="T1" t="s">
        <v>1</v>
      </c>
      <c r="U1" t="s">
        <v>2</v>
      </c>
    </row>
    <row r="2" spans="1:21" x14ac:dyDescent="0.3">
      <c r="A2" t="s">
        <v>566</v>
      </c>
      <c r="B2" s="1">
        <v>46094</v>
      </c>
      <c r="C2" t="s">
        <v>1230</v>
      </c>
      <c r="D2" t="s">
        <v>129</v>
      </c>
      <c r="E2" t="s">
        <v>360</v>
      </c>
      <c r="F2" s="2" t="s">
        <v>361</v>
      </c>
      <c r="G2" t="s">
        <v>362</v>
      </c>
      <c r="H2">
        <v>2</v>
      </c>
      <c r="I2">
        <v>1100</v>
      </c>
      <c r="J2">
        <v>0</v>
      </c>
      <c r="K2">
        <v>2200</v>
      </c>
      <c r="L2">
        <v>1360</v>
      </c>
      <c r="M2">
        <v>840</v>
      </c>
      <c r="N2" t="s">
        <v>567</v>
      </c>
      <c r="O2" t="s">
        <v>269</v>
      </c>
      <c r="P2" t="s">
        <v>8</v>
      </c>
      <c r="Q2" t="s">
        <v>568</v>
      </c>
      <c r="R2" s="14">
        <v>0.381818181818182</v>
      </c>
    </row>
    <row r="3" spans="1:21" hidden="1" x14ac:dyDescent="0.3">
      <c r="A3" t="s">
        <v>569</v>
      </c>
      <c r="B3" s="1">
        <v>46126</v>
      </c>
      <c r="C3" t="s">
        <v>1231</v>
      </c>
      <c r="D3" t="s">
        <v>55</v>
      </c>
      <c r="E3" t="s">
        <v>393</v>
      </c>
      <c r="F3" s="2" t="s">
        <v>394</v>
      </c>
      <c r="G3" t="s">
        <v>371</v>
      </c>
      <c r="H3">
        <v>1</v>
      </c>
      <c r="I3">
        <v>1150</v>
      </c>
      <c r="J3">
        <v>0</v>
      </c>
      <c r="K3">
        <v>1150</v>
      </c>
      <c r="L3">
        <v>700</v>
      </c>
      <c r="M3">
        <v>450</v>
      </c>
      <c r="N3" t="s">
        <v>570</v>
      </c>
      <c r="O3" t="s">
        <v>266</v>
      </c>
      <c r="P3" t="s">
        <v>13</v>
      </c>
      <c r="Q3" t="s">
        <v>571</v>
      </c>
      <c r="R3" s="14">
        <v>0.39130434782608697</v>
      </c>
    </row>
    <row r="4" spans="1:21" hidden="1" x14ac:dyDescent="0.3">
      <c r="A4" t="s">
        <v>572</v>
      </c>
      <c r="B4" s="1">
        <v>46210</v>
      </c>
      <c r="C4" t="s">
        <v>1232</v>
      </c>
      <c r="D4" t="s">
        <v>49</v>
      </c>
      <c r="E4" t="s">
        <v>350</v>
      </c>
      <c r="F4" s="2" t="s">
        <v>351</v>
      </c>
      <c r="G4" t="s">
        <v>352</v>
      </c>
      <c r="H4">
        <v>3</v>
      </c>
      <c r="I4">
        <v>900</v>
      </c>
      <c r="J4">
        <v>0</v>
      </c>
      <c r="K4">
        <v>2700</v>
      </c>
      <c r="L4">
        <v>1620</v>
      </c>
      <c r="M4">
        <v>1080</v>
      </c>
      <c r="N4" t="s">
        <v>573</v>
      </c>
      <c r="O4" t="s">
        <v>266</v>
      </c>
      <c r="P4" t="s">
        <v>8</v>
      </c>
      <c r="Q4" t="s">
        <v>574</v>
      </c>
      <c r="R4" s="14">
        <v>0.4</v>
      </c>
    </row>
    <row r="5" spans="1:21" hidden="1" x14ac:dyDescent="0.3">
      <c r="A5" t="s">
        <v>575</v>
      </c>
      <c r="B5" s="1">
        <v>46192</v>
      </c>
      <c r="C5" t="s">
        <v>1233</v>
      </c>
      <c r="D5" t="s">
        <v>191</v>
      </c>
      <c r="E5" t="s">
        <v>350</v>
      </c>
      <c r="F5" s="2" t="s">
        <v>351</v>
      </c>
      <c r="G5" t="s">
        <v>352</v>
      </c>
      <c r="H5">
        <v>1</v>
      </c>
      <c r="I5">
        <v>900</v>
      </c>
      <c r="J5">
        <v>20</v>
      </c>
      <c r="K5">
        <v>880</v>
      </c>
      <c r="L5">
        <v>540</v>
      </c>
      <c r="M5">
        <v>340</v>
      </c>
      <c r="N5" t="s">
        <v>576</v>
      </c>
      <c r="O5" t="s">
        <v>266</v>
      </c>
      <c r="P5" t="s">
        <v>18</v>
      </c>
      <c r="Q5" t="s">
        <v>574</v>
      </c>
      <c r="R5" s="14">
        <v>0.38636363636363602</v>
      </c>
    </row>
    <row r="6" spans="1:21" hidden="1" x14ac:dyDescent="0.3">
      <c r="A6" t="s">
        <v>577</v>
      </c>
      <c r="B6" s="1">
        <v>46086</v>
      </c>
      <c r="C6" t="s">
        <v>1230</v>
      </c>
      <c r="D6" t="s">
        <v>11</v>
      </c>
      <c r="E6" t="s">
        <v>374</v>
      </c>
      <c r="F6" s="2" t="s">
        <v>375</v>
      </c>
      <c r="G6" t="s">
        <v>376</v>
      </c>
      <c r="H6">
        <v>2</v>
      </c>
      <c r="I6">
        <v>800</v>
      </c>
      <c r="J6">
        <v>20</v>
      </c>
      <c r="K6">
        <v>1580</v>
      </c>
      <c r="L6">
        <v>940</v>
      </c>
      <c r="M6">
        <v>640</v>
      </c>
      <c r="N6" t="s">
        <v>567</v>
      </c>
      <c r="O6" t="s">
        <v>269</v>
      </c>
      <c r="P6" t="s">
        <v>18</v>
      </c>
      <c r="Q6" t="s">
        <v>568</v>
      </c>
      <c r="R6" s="14">
        <v>0.40506329113924</v>
      </c>
    </row>
    <row r="7" spans="1:21" x14ac:dyDescent="0.3">
      <c r="A7" t="s">
        <v>578</v>
      </c>
      <c r="B7" s="1">
        <v>46036</v>
      </c>
      <c r="C7" t="s">
        <v>1234</v>
      </c>
      <c r="D7" t="s">
        <v>235</v>
      </c>
      <c r="E7" t="s">
        <v>360</v>
      </c>
      <c r="F7" s="2" t="s">
        <v>361</v>
      </c>
      <c r="G7" t="s">
        <v>362</v>
      </c>
      <c r="H7">
        <v>1</v>
      </c>
      <c r="I7">
        <v>1100</v>
      </c>
      <c r="J7">
        <v>100</v>
      </c>
      <c r="K7">
        <v>1000</v>
      </c>
      <c r="L7">
        <v>680</v>
      </c>
      <c r="M7">
        <v>320</v>
      </c>
      <c r="N7" t="s">
        <v>579</v>
      </c>
      <c r="O7" t="s">
        <v>269</v>
      </c>
      <c r="P7" t="s">
        <v>8</v>
      </c>
      <c r="Q7" t="s">
        <v>568</v>
      </c>
      <c r="R7" s="14">
        <v>0.32</v>
      </c>
    </row>
    <row r="8" spans="1:21" hidden="1" x14ac:dyDescent="0.3">
      <c r="A8" t="s">
        <v>580</v>
      </c>
      <c r="B8" s="1">
        <v>46194</v>
      </c>
      <c r="C8" t="s">
        <v>1233</v>
      </c>
      <c r="D8" t="s">
        <v>23</v>
      </c>
      <c r="E8" t="s">
        <v>355</v>
      </c>
      <c r="F8" s="2" t="s">
        <v>356</v>
      </c>
      <c r="G8" t="s">
        <v>343</v>
      </c>
      <c r="H8">
        <v>1</v>
      </c>
      <c r="I8">
        <v>550</v>
      </c>
      <c r="J8">
        <v>50</v>
      </c>
      <c r="K8">
        <v>500</v>
      </c>
      <c r="L8">
        <v>300</v>
      </c>
      <c r="M8">
        <v>200</v>
      </c>
      <c r="N8" t="s">
        <v>570</v>
      </c>
      <c r="O8" t="s">
        <v>266</v>
      </c>
      <c r="P8" t="s">
        <v>13</v>
      </c>
      <c r="Q8" t="s">
        <v>568</v>
      </c>
      <c r="R8" s="14">
        <v>0.4</v>
      </c>
    </row>
    <row r="9" spans="1:21" hidden="1" x14ac:dyDescent="0.3">
      <c r="A9" t="s">
        <v>581</v>
      </c>
      <c r="B9" s="1">
        <v>46076</v>
      </c>
      <c r="C9" t="s">
        <v>1235</v>
      </c>
      <c r="D9" t="s">
        <v>219</v>
      </c>
      <c r="E9" t="s">
        <v>400</v>
      </c>
      <c r="F9" s="2" t="s">
        <v>401</v>
      </c>
      <c r="G9" t="s">
        <v>384</v>
      </c>
      <c r="H9">
        <v>2</v>
      </c>
      <c r="I9">
        <v>950</v>
      </c>
      <c r="J9">
        <v>20</v>
      </c>
      <c r="K9">
        <v>1880</v>
      </c>
      <c r="L9">
        <v>1140</v>
      </c>
      <c r="M9">
        <v>740</v>
      </c>
      <c r="N9" t="s">
        <v>576</v>
      </c>
      <c r="O9" t="s">
        <v>266</v>
      </c>
      <c r="P9" t="s">
        <v>13</v>
      </c>
      <c r="Q9" t="s">
        <v>571</v>
      </c>
      <c r="R9" s="14">
        <v>0.39361702127659598</v>
      </c>
    </row>
    <row r="10" spans="1:21" hidden="1" x14ac:dyDescent="0.3">
      <c r="A10" t="s">
        <v>582</v>
      </c>
      <c r="B10" s="1">
        <v>46250</v>
      </c>
      <c r="C10" t="s">
        <v>1236</v>
      </c>
      <c r="D10" t="s">
        <v>35</v>
      </c>
      <c r="E10" t="s">
        <v>369</v>
      </c>
      <c r="F10" s="2" t="s">
        <v>370</v>
      </c>
      <c r="G10" t="s">
        <v>371</v>
      </c>
      <c r="H10">
        <v>1</v>
      </c>
      <c r="I10">
        <v>1450</v>
      </c>
      <c r="J10">
        <v>20</v>
      </c>
      <c r="K10">
        <v>1430</v>
      </c>
      <c r="L10">
        <v>900</v>
      </c>
      <c r="M10">
        <v>530</v>
      </c>
      <c r="N10" t="s">
        <v>576</v>
      </c>
      <c r="O10" t="s">
        <v>269</v>
      </c>
      <c r="P10" t="s">
        <v>8</v>
      </c>
      <c r="Q10" t="s">
        <v>568</v>
      </c>
      <c r="R10" s="14">
        <v>0.37062937062937101</v>
      </c>
    </row>
    <row r="11" spans="1:21" hidden="1" x14ac:dyDescent="0.3">
      <c r="A11" t="s">
        <v>583</v>
      </c>
      <c r="B11" s="1">
        <v>46176</v>
      </c>
      <c r="C11" t="s">
        <v>1233</v>
      </c>
      <c r="D11" t="s">
        <v>185</v>
      </c>
      <c r="E11" t="s">
        <v>366</v>
      </c>
      <c r="F11" s="2" t="s">
        <v>367</v>
      </c>
      <c r="G11" t="s">
        <v>352</v>
      </c>
      <c r="H11">
        <v>1</v>
      </c>
      <c r="I11">
        <v>1500</v>
      </c>
      <c r="J11">
        <v>75</v>
      </c>
      <c r="K11">
        <v>1425</v>
      </c>
      <c r="L11">
        <v>920</v>
      </c>
      <c r="M11">
        <v>505</v>
      </c>
      <c r="N11" t="s">
        <v>576</v>
      </c>
      <c r="O11" t="s">
        <v>266</v>
      </c>
      <c r="P11" t="s">
        <v>13</v>
      </c>
      <c r="Q11" t="s">
        <v>568</v>
      </c>
      <c r="R11" s="14">
        <v>0.35438596491228103</v>
      </c>
    </row>
    <row r="12" spans="1:21" hidden="1" x14ac:dyDescent="0.3">
      <c r="A12" t="s">
        <v>584</v>
      </c>
      <c r="B12" s="1">
        <v>46031</v>
      </c>
      <c r="C12" t="s">
        <v>1234</v>
      </c>
      <c r="D12" t="s">
        <v>183</v>
      </c>
      <c r="E12" t="s">
        <v>374</v>
      </c>
      <c r="F12" s="2" t="s">
        <v>375</v>
      </c>
      <c r="G12" t="s">
        <v>376</v>
      </c>
      <c r="H12">
        <v>1</v>
      </c>
      <c r="I12">
        <v>800</v>
      </c>
      <c r="J12">
        <v>0</v>
      </c>
      <c r="K12">
        <v>800</v>
      </c>
      <c r="L12">
        <v>470</v>
      </c>
      <c r="M12">
        <v>330</v>
      </c>
      <c r="N12" t="s">
        <v>573</v>
      </c>
      <c r="O12" t="s">
        <v>266</v>
      </c>
      <c r="P12" t="s">
        <v>18</v>
      </c>
      <c r="Q12" t="s">
        <v>585</v>
      </c>
      <c r="R12" s="14">
        <v>0.41249999999999998</v>
      </c>
    </row>
    <row r="13" spans="1:21" hidden="1" x14ac:dyDescent="0.3">
      <c r="A13" t="s">
        <v>586</v>
      </c>
      <c r="B13" s="1">
        <v>46145</v>
      </c>
      <c r="C13" t="s">
        <v>1237</v>
      </c>
      <c r="D13" t="s">
        <v>16</v>
      </c>
      <c r="E13" t="s">
        <v>387</v>
      </c>
      <c r="F13" s="2" t="s">
        <v>388</v>
      </c>
      <c r="G13" t="s">
        <v>347</v>
      </c>
      <c r="H13">
        <v>2</v>
      </c>
      <c r="I13">
        <v>850</v>
      </c>
      <c r="J13">
        <v>50</v>
      </c>
      <c r="K13">
        <v>1650</v>
      </c>
      <c r="L13">
        <v>1040</v>
      </c>
      <c r="M13">
        <v>610</v>
      </c>
      <c r="N13" t="s">
        <v>579</v>
      </c>
      <c r="O13" t="s">
        <v>269</v>
      </c>
      <c r="P13" t="s">
        <v>8</v>
      </c>
      <c r="Q13" t="s">
        <v>568</v>
      </c>
      <c r="R13" s="14">
        <v>0.36969696969697002</v>
      </c>
    </row>
    <row r="14" spans="1:21" x14ac:dyDescent="0.3">
      <c r="A14" t="s">
        <v>587</v>
      </c>
      <c r="B14" s="1">
        <v>46055</v>
      </c>
      <c r="C14" t="s">
        <v>1235</v>
      </c>
      <c r="D14" t="s">
        <v>103</v>
      </c>
      <c r="E14" t="s">
        <v>360</v>
      </c>
      <c r="F14" s="2" t="s">
        <v>361</v>
      </c>
      <c r="G14" t="s">
        <v>362</v>
      </c>
      <c r="H14">
        <v>3</v>
      </c>
      <c r="I14">
        <v>1100</v>
      </c>
      <c r="J14">
        <v>20</v>
      </c>
      <c r="K14">
        <v>3280</v>
      </c>
      <c r="L14">
        <v>2040</v>
      </c>
      <c r="M14">
        <v>1240</v>
      </c>
      <c r="N14" t="s">
        <v>567</v>
      </c>
      <c r="O14" t="s">
        <v>269</v>
      </c>
      <c r="P14" t="s">
        <v>8</v>
      </c>
      <c r="Q14" t="s">
        <v>585</v>
      </c>
      <c r="R14" s="14">
        <v>0.37804878048780499</v>
      </c>
    </row>
    <row r="15" spans="1:21" hidden="1" x14ac:dyDescent="0.3">
      <c r="A15" t="s">
        <v>588</v>
      </c>
      <c r="B15" s="1">
        <v>46153</v>
      </c>
      <c r="C15" t="s">
        <v>1237</v>
      </c>
      <c r="D15" t="s">
        <v>6</v>
      </c>
      <c r="E15" t="s">
        <v>387</v>
      </c>
      <c r="F15" s="2" t="s">
        <v>388</v>
      </c>
      <c r="G15" t="s">
        <v>347</v>
      </c>
      <c r="H15">
        <v>1</v>
      </c>
      <c r="I15">
        <v>850</v>
      </c>
      <c r="J15">
        <v>100</v>
      </c>
      <c r="K15">
        <v>750</v>
      </c>
      <c r="L15">
        <v>520</v>
      </c>
      <c r="M15">
        <v>230</v>
      </c>
      <c r="N15" t="s">
        <v>567</v>
      </c>
      <c r="O15" t="s">
        <v>266</v>
      </c>
      <c r="P15" t="s">
        <v>18</v>
      </c>
      <c r="Q15" t="s">
        <v>585</v>
      </c>
      <c r="R15" s="14">
        <v>0.30666666666666698</v>
      </c>
    </row>
    <row r="16" spans="1:21" x14ac:dyDescent="0.3">
      <c r="A16" t="s">
        <v>589</v>
      </c>
      <c r="B16" s="1">
        <v>46112</v>
      </c>
      <c r="C16" t="s">
        <v>1230</v>
      </c>
      <c r="D16" t="s">
        <v>91</v>
      </c>
      <c r="E16" t="s">
        <v>360</v>
      </c>
      <c r="F16" s="2" t="s">
        <v>361</v>
      </c>
      <c r="G16" t="s">
        <v>362</v>
      </c>
      <c r="H16">
        <v>1</v>
      </c>
      <c r="I16">
        <v>1100</v>
      </c>
      <c r="J16">
        <v>50</v>
      </c>
      <c r="K16">
        <v>1050</v>
      </c>
      <c r="L16">
        <v>680</v>
      </c>
      <c r="M16">
        <v>370</v>
      </c>
      <c r="N16" t="s">
        <v>576</v>
      </c>
      <c r="O16" t="s">
        <v>269</v>
      </c>
      <c r="P16" t="s">
        <v>18</v>
      </c>
      <c r="Q16" t="s">
        <v>568</v>
      </c>
      <c r="R16" s="14">
        <v>0.35238095238095202</v>
      </c>
    </row>
    <row r="17" spans="1:18" x14ac:dyDescent="0.3">
      <c r="A17" t="s">
        <v>590</v>
      </c>
      <c r="B17" s="1">
        <v>46154</v>
      </c>
      <c r="C17" t="s">
        <v>1237</v>
      </c>
      <c r="D17" t="s">
        <v>195</v>
      </c>
      <c r="E17" t="s">
        <v>360</v>
      </c>
      <c r="F17" s="2" t="s">
        <v>361</v>
      </c>
      <c r="G17" t="s">
        <v>362</v>
      </c>
      <c r="H17">
        <v>1</v>
      </c>
      <c r="I17">
        <v>1100</v>
      </c>
      <c r="J17">
        <v>20</v>
      </c>
      <c r="K17">
        <v>1080</v>
      </c>
      <c r="L17">
        <v>680</v>
      </c>
      <c r="M17">
        <v>400</v>
      </c>
      <c r="N17" t="s">
        <v>567</v>
      </c>
      <c r="O17" t="s">
        <v>269</v>
      </c>
      <c r="P17" t="s">
        <v>18</v>
      </c>
      <c r="Q17" t="s">
        <v>568</v>
      </c>
      <c r="R17" s="14">
        <v>0.37037037037037002</v>
      </c>
    </row>
    <row r="18" spans="1:18" hidden="1" x14ac:dyDescent="0.3">
      <c r="A18" t="s">
        <v>591</v>
      </c>
      <c r="B18" s="1">
        <v>46093</v>
      </c>
      <c r="C18" t="s">
        <v>1230</v>
      </c>
      <c r="D18" t="s">
        <v>125</v>
      </c>
      <c r="E18" t="s">
        <v>393</v>
      </c>
      <c r="F18" s="2" t="s">
        <v>394</v>
      </c>
      <c r="G18" t="s">
        <v>371</v>
      </c>
      <c r="H18">
        <v>1</v>
      </c>
      <c r="I18">
        <v>1150</v>
      </c>
      <c r="J18">
        <v>100</v>
      </c>
      <c r="K18">
        <v>1050</v>
      </c>
      <c r="L18">
        <v>700</v>
      </c>
      <c r="M18">
        <v>350</v>
      </c>
      <c r="N18" t="s">
        <v>570</v>
      </c>
      <c r="O18" t="s">
        <v>266</v>
      </c>
      <c r="P18" t="s">
        <v>8</v>
      </c>
      <c r="Q18" t="s">
        <v>574</v>
      </c>
      <c r="R18" s="14">
        <v>0.33333333333333298</v>
      </c>
    </row>
    <row r="19" spans="1:18" hidden="1" x14ac:dyDescent="0.3">
      <c r="A19" t="s">
        <v>592</v>
      </c>
      <c r="B19" s="1">
        <v>46050</v>
      </c>
      <c r="C19" t="s">
        <v>1234</v>
      </c>
      <c r="D19" t="s">
        <v>223</v>
      </c>
      <c r="E19" t="s">
        <v>396</v>
      </c>
      <c r="F19" s="2" t="s">
        <v>397</v>
      </c>
      <c r="G19" t="s">
        <v>376</v>
      </c>
      <c r="H19">
        <v>2</v>
      </c>
      <c r="I19">
        <v>600</v>
      </c>
      <c r="J19">
        <v>75</v>
      </c>
      <c r="K19">
        <v>1125</v>
      </c>
      <c r="L19">
        <v>700</v>
      </c>
      <c r="M19">
        <v>425</v>
      </c>
      <c r="N19" t="s">
        <v>576</v>
      </c>
      <c r="O19" t="s">
        <v>266</v>
      </c>
      <c r="P19" t="s">
        <v>593</v>
      </c>
      <c r="Q19" t="s">
        <v>585</v>
      </c>
      <c r="R19" s="14">
        <v>0.37777777777777799</v>
      </c>
    </row>
    <row r="20" spans="1:18" hidden="1" x14ac:dyDescent="0.3">
      <c r="A20" t="s">
        <v>594</v>
      </c>
      <c r="B20" s="1">
        <v>46212</v>
      </c>
      <c r="C20" t="s">
        <v>1232</v>
      </c>
      <c r="D20" t="s">
        <v>201</v>
      </c>
      <c r="E20" t="s">
        <v>369</v>
      </c>
      <c r="F20" s="2" t="s">
        <v>370</v>
      </c>
      <c r="G20" t="s">
        <v>371</v>
      </c>
      <c r="H20">
        <v>1</v>
      </c>
      <c r="I20">
        <v>1450</v>
      </c>
      <c r="J20">
        <v>20</v>
      </c>
      <c r="K20">
        <v>1430</v>
      </c>
      <c r="L20">
        <v>900</v>
      </c>
      <c r="M20">
        <v>530</v>
      </c>
      <c r="N20" t="s">
        <v>573</v>
      </c>
      <c r="O20" t="s">
        <v>269</v>
      </c>
      <c r="P20" t="s">
        <v>18</v>
      </c>
      <c r="Q20" t="s">
        <v>568</v>
      </c>
      <c r="R20" s="14">
        <v>0.37062937062937101</v>
      </c>
    </row>
    <row r="21" spans="1:18" hidden="1" x14ac:dyDescent="0.3">
      <c r="A21" t="s">
        <v>595</v>
      </c>
      <c r="B21" s="1">
        <v>46220</v>
      </c>
      <c r="C21" t="s">
        <v>1232</v>
      </c>
      <c r="D21" t="s">
        <v>151</v>
      </c>
      <c r="E21" t="s">
        <v>355</v>
      </c>
      <c r="F21" s="2" t="s">
        <v>356</v>
      </c>
      <c r="G21" t="s">
        <v>343</v>
      </c>
      <c r="H21">
        <v>1</v>
      </c>
      <c r="I21">
        <v>550</v>
      </c>
      <c r="J21">
        <v>0</v>
      </c>
      <c r="K21">
        <v>550</v>
      </c>
      <c r="L21">
        <v>300</v>
      </c>
      <c r="M21">
        <v>250</v>
      </c>
      <c r="N21" t="s">
        <v>570</v>
      </c>
      <c r="O21" t="s">
        <v>269</v>
      </c>
      <c r="P21" t="s">
        <v>8</v>
      </c>
      <c r="Q21" t="s">
        <v>568</v>
      </c>
      <c r="R21" s="14">
        <v>0.45454545454545398</v>
      </c>
    </row>
    <row r="22" spans="1:18" hidden="1" x14ac:dyDescent="0.3">
      <c r="A22" t="s">
        <v>596</v>
      </c>
      <c r="B22" s="1">
        <v>46081</v>
      </c>
      <c r="C22" t="s">
        <v>1235</v>
      </c>
      <c r="D22" t="s">
        <v>243</v>
      </c>
      <c r="E22" t="s">
        <v>415</v>
      </c>
      <c r="F22" s="2" t="s">
        <v>416</v>
      </c>
      <c r="G22" t="s">
        <v>347</v>
      </c>
      <c r="H22">
        <v>1</v>
      </c>
      <c r="I22">
        <v>1250</v>
      </c>
      <c r="J22">
        <v>0</v>
      </c>
      <c r="K22">
        <v>1250</v>
      </c>
      <c r="L22">
        <v>760</v>
      </c>
      <c r="M22">
        <v>490</v>
      </c>
      <c r="N22" t="s">
        <v>573</v>
      </c>
      <c r="O22" t="s">
        <v>266</v>
      </c>
      <c r="P22" t="s">
        <v>13</v>
      </c>
      <c r="Q22" t="s">
        <v>568</v>
      </c>
      <c r="R22" s="14">
        <v>0.39200000000000002</v>
      </c>
    </row>
    <row r="23" spans="1:18" hidden="1" x14ac:dyDescent="0.3">
      <c r="A23" t="s">
        <v>597</v>
      </c>
      <c r="B23" s="1">
        <v>46152</v>
      </c>
      <c r="C23" t="s">
        <v>1237</v>
      </c>
      <c r="D23" t="s">
        <v>11</v>
      </c>
      <c r="E23" t="s">
        <v>369</v>
      </c>
      <c r="F23" s="2" t="s">
        <v>370</v>
      </c>
      <c r="G23" t="s">
        <v>371</v>
      </c>
      <c r="H23">
        <v>4</v>
      </c>
      <c r="I23">
        <v>1450</v>
      </c>
      <c r="J23">
        <v>0</v>
      </c>
      <c r="K23">
        <v>5800</v>
      </c>
      <c r="L23">
        <v>3600</v>
      </c>
      <c r="M23">
        <v>2200</v>
      </c>
      <c r="N23" t="s">
        <v>573</v>
      </c>
      <c r="O23" t="s">
        <v>269</v>
      </c>
      <c r="P23" t="s">
        <v>13</v>
      </c>
      <c r="Q23" t="s">
        <v>571</v>
      </c>
      <c r="R23" s="14">
        <v>0.37931034482758602</v>
      </c>
    </row>
    <row r="24" spans="1:18" hidden="1" x14ac:dyDescent="0.3">
      <c r="A24" t="s">
        <v>598</v>
      </c>
      <c r="B24" s="1">
        <v>46076</v>
      </c>
      <c r="C24" t="s">
        <v>1235</v>
      </c>
      <c r="D24" t="s">
        <v>181</v>
      </c>
      <c r="E24" t="s">
        <v>393</v>
      </c>
      <c r="F24" s="2" t="s">
        <v>394</v>
      </c>
      <c r="G24" t="s">
        <v>371</v>
      </c>
      <c r="H24">
        <v>2</v>
      </c>
      <c r="I24">
        <v>1150</v>
      </c>
      <c r="J24">
        <v>20</v>
      </c>
      <c r="K24">
        <v>2280</v>
      </c>
      <c r="L24">
        <v>1400</v>
      </c>
      <c r="M24">
        <v>880</v>
      </c>
      <c r="N24" t="s">
        <v>567</v>
      </c>
      <c r="O24" t="s">
        <v>266</v>
      </c>
      <c r="P24" t="s">
        <v>13</v>
      </c>
      <c r="Q24" t="s">
        <v>574</v>
      </c>
      <c r="R24" s="14">
        <v>0.38596491228070201</v>
      </c>
    </row>
    <row r="25" spans="1:18" hidden="1" x14ac:dyDescent="0.3">
      <c r="A25" t="s">
        <v>599</v>
      </c>
      <c r="B25" s="1">
        <v>46182</v>
      </c>
      <c r="C25" t="s">
        <v>1233</v>
      </c>
      <c r="D25" t="s">
        <v>147</v>
      </c>
      <c r="E25" t="s">
        <v>396</v>
      </c>
      <c r="F25" s="2" t="s">
        <v>397</v>
      </c>
      <c r="G25" t="s">
        <v>376</v>
      </c>
      <c r="H25">
        <v>1</v>
      </c>
      <c r="I25">
        <v>600</v>
      </c>
      <c r="J25">
        <v>20</v>
      </c>
      <c r="K25">
        <v>580</v>
      </c>
      <c r="L25">
        <v>350</v>
      </c>
      <c r="M25">
        <v>230</v>
      </c>
      <c r="N25" t="s">
        <v>576</v>
      </c>
      <c r="O25" t="s">
        <v>269</v>
      </c>
      <c r="P25" t="s">
        <v>18</v>
      </c>
      <c r="Q25" t="s">
        <v>568</v>
      </c>
      <c r="R25" s="14">
        <v>0.39655172413793099</v>
      </c>
    </row>
    <row r="26" spans="1:18" hidden="1" x14ac:dyDescent="0.3">
      <c r="A26" t="s">
        <v>600</v>
      </c>
      <c r="B26" s="1">
        <v>46138</v>
      </c>
      <c r="C26" t="s">
        <v>1231</v>
      </c>
      <c r="D26" t="s">
        <v>203</v>
      </c>
      <c r="E26" t="s">
        <v>387</v>
      </c>
      <c r="F26" s="2" t="s">
        <v>388</v>
      </c>
      <c r="G26" t="s">
        <v>347</v>
      </c>
      <c r="H26">
        <v>2</v>
      </c>
      <c r="I26">
        <v>850</v>
      </c>
      <c r="J26">
        <v>20</v>
      </c>
      <c r="K26">
        <v>1680</v>
      </c>
      <c r="L26">
        <v>1040</v>
      </c>
      <c r="M26">
        <v>640</v>
      </c>
      <c r="N26" t="s">
        <v>570</v>
      </c>
      <c r="O26" t="s">
        <v>269</v>
      </c>
      <c r="P26" t="s">
        <v>13</v>
      </c>
      <c r="Q26" t="s">
        <v>568</v>
      </c>
      <c r="R26" s="14">
        <v>0.38095238095238099</v>
      </c>
    </row>
    <row r="27" spans="1:18" hidden="1" x14ac:dyDescent="0.3">
      <c r="A27" t="s">
        <v>601</v>
      </c>
      <c r="B27" s="1">
        <v>46170</v>
      </c>
      <c r="C27" t="s">
        <v>1237</v>
      </c>
      <c r="D27" t="s">
        <v>125</v>
      </c>
      <c r="E27" t="s">
        <v>393</v>
      </c>
      <c r="F27" s="2" t="s">
        <v>394</v>
      </c>
      <c r="G27" t="s">
        <v>371</v>
      </c>
      <c r="H27">
        <v>1</v>
      </c>
      <c r="I27">
        <v>1150</v>
      </c>
      <c r="J27">
        <v>0</v>
      </c>
      <c r="K27">
        <v>1150</v>
      </c>
      <c r="L27">
        <v>700</v>
      </c>
      <c r="M27">
        <v>450</v>
      </c>
      <c r="N27" t="s">
        <v>576</v>
      </c>
      <c r="O27" t="s">
        <v>269</v>
      </c>
      <c r="P27" t="s">
        <v>8</v>
      </c>
      <c r="Q27" t="s">
        <v>574</v>
      </c>
      <c r="R27" s="14">
        <v>0.39130434782608697</v>
      </c>
    </row>
    <row r="28" spans="1:18" hidden="1" x14ac:dyDescent="0.3">
      <c r="A28" t="s">
        <v>602</v>
      </c>
      <c r="B28" s="1">
        <v>46255</v>
      </c>
      <c r="C28" t="s">
        <v>1236</v>
      </c>
      <c r="D28" t="s">
        <v>73</v>
      </c>
      <c r="E28" t="s">
        <v>415</v>
      </c>
      <c r="F28" s="2" t="s">
        <v>416</v>
      </c>
      <c r="G28" t="s">
        <v>347</v>
      </c>
      <c r="H28">
        <v>1</v>
      </c>
      <c r="I28">
        <v>1250</v>
      </c>
      <c r="J28">
        <v>0</v>
      </c>
      <c r="K28">
        <v>1250</v>
      </c>
      <c r="L28">
        <v>760</v>
      </c>
      <c r="M28">
        <v>490</v>
      </c>
      <c r="N28" t="s">
        <v>579</v>
      </c>
      <c r="O28" t="s">
        <v>266</v>
      </c>
      <c r="P28" t="s">
        <v>13</v>
      </c>
      <c r="Q28" t="s">
        <v>574</v>
      </c>
      <c r="R28" s="14">
        <v>0.39200000000000002</v>
      </c>
    </row>
    <row r="29" spans="1:18" hidden="1" x14ac:dyDescent="0.3">
      <c r="A29" t="s">
        <v>603</v>
      </c>
      <c r="B29" s="1">
        <v>46244</v>
      </c>
      <c r="C29" t="s">
        <v>1236</v>
      </c>
      <c r="D29" t="s">
        <v>91</v>
      </c>
      <c r="E29" t="s">
        <v>382</v>
      </c>
      <c r="F29" s="2" t="s">
        <v>383</v>
      </c>
      <c r="G29" t="s">
        <v>384</v>
      </c>
      <c r="H29">
        <v>1</v>
      </c>
      <c r="I29">
        <v>1200</v>
      </c>
      <c r="J29">
        <v>100</v>
      </c>
      <c r="K29">
        <v>1100</v>
      </c>
      <c r="L29">
        <v>730</v>
      </c>
      <c r="M29">
        <v>370</v>
      </c>
      <c r="N29" t="s">
        <v>570</v>
      </c>
      <c r="O29" t="s">
        <v>269</v>
      </c>
      <c r="P29" t="s">
        <v>8</v>
      </c>
      <c r="Q29" t="s">
        <v>571</v>
      </c>
      <c r="R29" s="14">
        <v>0.33636363636363598</v>
      </c>
    </row>
    <row r="30" spans="1:18" hidden="1" x14ac:dyDescent="0.3">
      <c r="A30" t="s">
        <v>604</v>
      </c>
      <c r="B30" s="1">
        <v>46070</v>
      </c>
      <c r="C30" t="s">
        <v>1235</v>
      </c>
      <c r="D30" t="s">
        <v>31</v>
      </c>
      <c r="E30" t="s">
        <v>355</v>
      </c>
      <c r="F30" s="2" t="s">
        <v>356</v>
      </c>
      <c r="G30" t="s">
        <v>343</v>
      </c>
      <c r="H30">
        <v>1</v>
      </c>
      <c r="I30">
        <v>550</v>
      </c>
      <c r="J30">
        <v>0</v>
      </c>
      <c r="K30">
        <v>550</v>
      </c>
      <c r="L30">
        <v>300</v>
      </c>
      <c r="M30">
        <v>250</v>
      </c>
      <c r="N30" t="s">
        <v>567</v>
      </c>
      <c r="O30" t="s">
        <v>269</v>
      </c>
      <c r="P30" t="s">
        <v>18</v>
      </c>
      <c r="Q30" t="s">
        <v>568</v>
      </c>
      <c r="R30" s="14">
        <v>0.45454545454545398</v>
      </c>
    </row>
    <row r="31" spans="1:18" hidden="1" x14ac:dyDescent="0.3">
      <c r="A31" t="s">
        <v>605</v>
      </c>
      <c r="B31" s="1">
        <v>46153</v>
      </c>
      <c r="C31" t="s">
        <v>1237</v>
      </c>
      <c r="D31" t="s">
        <v>47</v>
      </c>
      <c r="E31" t="s">
        <v>382</v>
      </c>
      <c r="F31" s="2" t="s">
        <v>383</v>
      </c>
      <c r="G31" t="s">
        <v>384</v>
      </c>
      <c r="H31">
        <v>1</v>
      </c>
      <c r="I31">
        <v>1200</v>
      </c>
      <c r="J31">
        <v>50</v>
      </c>
      <c r="K31">
        <v>1150</v>
      </c>
      <c r="L31">
        <v>730</v>
      </c>
      <c r="M31">
        <v>420</v>
      </c>
      <c r="N31" t="s">
        <v>573</v>
      </c>
      <c r="O31" t="s">
        <v>266</v>
      </c>
      <c r="P31" t="s">
        <v>18</v>
      </c>
      <c r="Q31" t="s">
        <v>585</v>
      </c>
      <c r="R31" s="14">
        <v>0.36521739130434799</v>
      </c>
    </row>
    <row r="32" spans="1:18" hidden="1" x14ac:dyDescent="0.3">
      <c r="A32" t="s">
        <v>606</v>
      </c>
      <c r="B32" s="1">
        <v>46249</v>
      </c>
      <c r="C32" t="s">
        <v>1236</v>
      </c>
      <c r="D32" t="s">
        <v>231</v>
      </c>
      <c r="E32" t="s">
        <v>355</v>
      </c>
      <c r="F32" s="2" t="s">
        <v>356</v>
      </c>
      <c r="G32" t="s">
        <v>343</v>
      </c>
      <c r="H32">
        <v>3</v>
      </c>
      <c r="I32">
        <v>550</v>
      </c>
      <c r="J32">
        <v>50</v>
      </c>
      <c r="K32">
        <v>1600</v>
      </c>
      <c r="L32">
        <v>900</v>
      </c>
      <c r="M32">
        <v>700</v>
      </c>
      <c r="N32" t="s">
        <v>573</v>
      </c>
      <c r="O32" t="s">
        <v>269</v>
      </c>
      <c r="P32" t="s">
        <v>13</v>
      </c>
      <c r="Q32" t="s">
        <v>568</v>
      </c>
      <c r="R32" s="14">
        <v>0.4375</v>
      </c>
    </row>
    <row r="33" spans="1:18" hidden="1" x14ac:dyDescent="0.3">
      <c r="A33" t="s">
        <v>607</v>
      </c>
      <c r="B33" s="1">
        <v>46230</v>
      </c>
      <c r="C33" t="s">
        <v>1232</v>
      </c>
      <c r="D33" t="s">
        <v>129</v>
      </c>
      <c r="E33" t="s">
        <v>396</v>
      </c>
      <c r="F33" s="2" t="s">
        <v>397</v>
      </c>
      <c r="G33" t="s">
        <v>376</v>
      </c>
      <c r="H33">
        <v>1</v>
      </c>
      <c r="I33">
        <v>600</v>
      </c>
      <c r="J33">
        <v>50</v>
      </c>
      <c r="K33">
        <v>550</v>
      </c>
      <c r="L33">
        <v>350</v>
      </c>
      <c r="M33">
        <v>200</v>
      </c>
      <c r="N33" t="s">
        <v>573</v>
      </c>
      <c r="O33" t="s">
        <v>266</v>
      </c>
      <c r="P33" t="s">
        <v>13</v>
      </c>
      <c r="Q33" t="s">
        <v>568</v>
      </c>
      <c r="R33" s="14">
        <v>0.36363636363636398</v>
      </c>
    </row>
    <row r="34" spans="1:18" hidden="1" x14ac:dyDescent="0.3">
      <c r="A34" t="s">
        <v>608</v>
      </c>
      <c r="B34" s="1">
        <v>46150</v>
      </c>
      <c r="C34" t="s">
        <v>1237</v>
      </c>
      <c r="D34" t="s">
        <v>23</v>
      </c>
      <c r="E34" t="s">
        <v>396</v>
      </c>
      <c r="F34" s="2" t="s">
        <v>397</v>
      </c>
      <c r="G34" t="s">
        <v>376</v>
      </c>
      <c r="H34">
        <v>1</v>
      </c>
      <c r="I34">
        <v>600</v>
      </c>
      <c r="J34">
        <v>50</v>
      </c>
      <c r="K34">
        <v>550</v>
      </c>
      <c r="L34">
        <v>350</v>
      </c>
      <c r="M34">
        <v>200</v>
      </c>
      <c r="N34" t="s">
        <v>570</v>
      </c>
      <c r="O34" t="s">
        <v>269</v>
      </c>
      <c r="P34" t="s">
        <v>13</v>
      </c>
      <c r="Q34" t="s">
        <v>574</v>
      </c>
      <c r="R34" s="14">
        <v>0.36363636363636398</v>
      </c>
    </row>
    <row r="35" spans="1:18" hidden="1" x14ac:dyDescent="0.3">
      <c r="A35" t="s">
        <v>609</v>
      </c>
      <c r="B35" s="1">
        <v>46260</v>
      </c>
      <c r="C35" t="s">
        <v>1236</v>
      </c>
      <c r="D35" t="s">
        <v>67</v>
      </c>
      <c r="E35" t="s">
        <v>393</v>
      </c>
      <c r="F35" s="2" t="s">
        <v>394</v>
      </c>
      <c r="G35" t="s">
        <v>371</v>
      </c>
      <c r="H35">
        <v>1</v>
      </c>
      <c r="I35">
        <v>1150</v>
      </c>
      <c r="J35">
        <v>0</v>
      </c>
      <c r="K35">
        <v>1150</v>
      </c>
      <c r="L35">
        <v>700</v>
      </c>
      <c r="M35">
        <v>450</v>
      </c>
      <c r="N35" t="s">
        <v>567</v>
      </c>
      <c r="O35" t="s">
        <v>269</v>
      </c>
      <c r="P35" t="s">
        <v>8</v>
      </c>
      <c r="Q35" t="s">
        <v>585</v>
      </c>
      <c r="R35" s="14">
        <v>0.39130434782608697</v>
      </c>
    </row>
    <row r="36" spans="1:18" hidden="1" x14ac:dyDescent="0.3">
      <c r="A36" t="s">
        <v>610</v>
      </c>
      <c r="B36" s="1">
        <v>46050</v>
      </c>
      <c r="C36" t="s">
        <v>1234</v>
      </c>
      <c r="D36" t="s">
        <v>229</v>
      </c>
      <c r="E36" t="s">
        <v>393</v>
      </c>
      <c r="F36" s="2" t="s">
        <v>394</v>
      </c>
      <c r="G36" t="s">
        <v>371</v>
      </c>
      <c r="H36">
        <v>2</v>
      </c>
      <c r="I36">
        <v>1150</v>
      </c>
      <c r="J36">
        <v>20</v>
      </c>
      <c r="K36">
        <v>2280</v>
      </c>
      <c r="L36">
        <v>1400</v>
      </c>
      <c r="M36">
        <v>880</v>
      </c>
      <c r="N36" t="s">
        <v>573</v>
      </c>
      <c r="O36" t="s">
        <v>269</v>
      </c>
      <c r="P36" t="s">
        <v>13</v>
      </c>
      <c r="Q36" t="s">
        <v>574</v>
      </c>
      <c r="R36" s="14">
        <v>0.38596491228070201</v>
      </c>
    </row>
    <row r="37" spans="1:18" hidden="1" x14ac:dyDescent="0.3">
      <c r="A37" t="s">
        <v>611</v>
      </c>
      <c r="B37" s="1">
        <v>46039</v>
      </c>
      <c r="C37" t="s">
        <v>1234</v>
      </c>
      <c r="D37" t="s">
        <v>95</v>
      </c>
      <c r="E37" t="s">
        <v>355</v>
      </c>
      <c r="F37" s="2" t="s">
        <v>356</v>
      </c>
      <c r="G37" t="s">
        <v>343</v>
      </c>
      <c r="H37">
        <v>1</v>
      </c>
      <c r="I37">
        <v>550</v>
      </c>
      <c r="J37">
        <v>50</v>
      </c>
      <c r="K37">
        <v>500</v>
      </c>
      <c r="L37">
        <v>300</v>
      </c>
      <c r="M37">
        <v>200</v>
      </c>
      <c r="N37" t="s">
        <v>576</v>
      </c>
      <c r="O37" t="s">
        <v>266</v>
      </c>
      <c r="P37" t="s">
        <v>13</v>
      </c>
      <c r="Q37" t="s">
        <v>568</v>
      </c>
      <c r="R37" s="14">
        <v>0.4</v>
      </c>
    </row>
    <row r="38" spans="1:18" x14ac:dyDescent="0.3">
      <c r="A38" t="s">
        <v>612</v>
      </c>
      <c r="B38" s="1">
        <v>46046</v>
      </c>
      <c r="C38" t="s">
        <v>1234</v>
      </c>
      <c r="D38" t="s">
        <v>193</v>
      </c>
      <c r="E38" t="s">
        <v>419</v>
      </c>
      <c r="F38" s="2" t="s">
        <v>420</v>
      </c>
      <c r="G38" t="s">
        <v>362</v>
      </c>
      <c r="H38">
        <v>1</v>
      </c>
      <c r="I38">
        <v>1350</v>
      </c>
      <c r="J38">
        <v>0</v>
      </c>
      <c r="K38">
        <v>1350</v>
      </c>
      <c r="L38">
        <v>850</v>
      </c>
      <c r="M38">
        <v>500</v>
      </c>
      <c r="N38" t="s">
        <v>573</v>
      </c>
      <c r="O38" t="s">
        <v>266</v>
      </c>
      <c r="P38" t="s">
        <v>13</v>
      </c>
      <c r="Q38" t="s">
        <v>574</v>
      </c>
      <c r="R38" s="14">
        <v>0.37037037037037002</v>
      </c>
    </row>
    <row r="39" spans="1:18" hidden="1" x14ac:dyDescent="0.3">
      <c r="A39" t="s">
        <v>613</v>
      </c>
      <c r="B39" s="1">
        <v>46235</v>
      </c>
      <c r="C39" t="s">
        <v>1236</v>
      </c>
      <c r="D39" t="s">
        <v>71</v>
      </c>
      <c r="E39" t="s">
        <v>350</v>
      </c>
      <c r="F39" s="2" t="s">
        <v>351</v>
      </c>
      <c r="G39" t="s">
        <v>352</v>
      </c>
      <c r="H39">
        <v>3</v>
      </c>
      <c r="I39">
        <v>900</v>
      </c>
      <c r="J39">
        <v>0</v>
      </c>
      <c r="K39">
        <v>2700</v>
      </c>
      <c r="L39">
        <v>1620</v>
      </c>
      <c r="M39">
        <v>1080</v>
      </c>
      <c r="N39" t="s">
        <v>573</v>
      </c>
      <c r="O39" t="s">
        <v>266</v>
      </c>
      <c r="P39" t="s">
        <v>18</v>
      </c>
      <c r="Q39" t="s">
        <v>568</v>
      </c>
      <c r="R39" s="14">
        <v>0.4</v>
      </c>
    </row>
    <row r="40" spans="1:18" hidden="1" x14ac:dyDescent="0.3">
      <c r="A40" t="s">
        <v>614</v>
      </c>
      <c r="B40" s="1">
        <v>46089</v>
      </c>
      <c r="C40" t="s">
        <v>1230</v>
      </c>
      <c r="D40" t="s">
        <v>215</v>
      </c>
      <c r="E40" t="s">
        <v>382</v>
      </c>
      <c r="F40" s="2" t="s">
        <v>383</v>
      </c>
      <c r="G40" t="s">
        <v>384</v>
      </c>
      <c r="H40">
        <v>1</v>
      </c>
      <c r="I40">
        <v>1200</v>
      </c>
      <c r="J40">
        <v>75</v>
      </c>
      <c r="K40">
        <v>1125</v>
      </c>
      <c r="L40">
        <v>730</v>
      </c>
      <c r="M40">
        <v>395</v>
      </c>
      <c r="N40" t="s">
        <v>579</v>
      </c>
      <c r="O40" t="s">
        <v>266</v>
      </c>
      <c r="P40" t="s">
        <v>18</v>
      </c>
      <c r="Q40" t="s">
        <v>571</v>
      </c>
      <c r="R40" s="14">
        <v>0.35111111111111099</v>
      </c>
    </row>
    <row r="41" spans="1:18" hidden="1" x14ac:dyDescent="0.3">
      <c r="A41" t="s">
        <v>615</v>
      </c>
      <c r="B41" s="1">
        <v>46240</v>
      </c>
      <c r="C41" t="s">
        <v>1236</v>
      </c>
      <c r="D41" t="s">
        <v>41</v>
      </c>
      <c r="E41" t="s">
        <v>345</v>
      </c>
      <c r="F41" s="2" t="s">
        <v>346</v>
      </c>
      <c r="G41" t="s">
        <v>347</v>
      </c>
      <c r="H41">
        <v>1</v>
      </c>
      <c r="I41">
        <v>700</v>
      </c>
      <c r="J41">
        <v>0</v>
      </c>
      <c r="K41">
        <v>700</v>
      </c>
      <c r="L41">
        <v>410</v>
      </c>
      <c r="M41">
        <v>290</v>
      </c>
      <c r="N41" t="s">
        <v>573</v>
      </c>
      <c r="O41" t="s">
        <v>269</v>
      </c>
      <c r="P41" t="s">
        <v>18</v>
      </c>
      <c r="Q41" t="s">
        <v>585</v>
      </c>
      <c r="R41" s="14">
        <v>0.41428571428571398</v>
      </c>
    </row>
    <row r="42" spans="1:18" x14ac:dyDescent="0.3">
      <c r="A42" t="s">
        <v>616</v>
      </c>
      <c r="B42" s="1">
        <v>46121</v>
      </c>
      <c r="C42" t="s">
        <v>1231</v>
      </c>
      <c r="D42" t="s">
        <v>107</v>
      </c>
      <c r="E42" t="s">
        <v>360</v>
      </c>
      <c r="F42" s="2" t="s">
        <v>361</v>
      </c>
      <c r="G42" t="s">
        <v>362</v>
      </c>
      <c r="H42">
        <v>1</v>
      </c>
      <c r="I42">
        <v>1100</v>
      </c>
      <c r="J42">
        <v>75</v>
      </c>
      <c r="K42">
        <v>1025</v>
      </c>
      <c r="L42">
        <v>680</v>
      </c>
      <c r="M42">
        <v>345</v>
      </c>
      <c r="N42" t="s">
        <v>573</v>
      </c>
      <c r="O42" t="s">
        <v>266</v>
      </c>
      <c r="P42" t="s">
        <v>13</v>
      </c>
      <c r="Q42" t="s">
        <v>568</v>
      </c>
      <c r="R42" s="14">
        <v>0.336585365853659</v>
      </c>
    </row>
    <row r="43" spans="1:18" x14ac:dyDescent="0.3">
      <c r="A43" t="s">
        <v>617</v>
      </c>
      <c r="B43" s="1">
        <v>46087</v>
      </c>
      <c r="C43" t="s">
        <v>1230</v>
      </c>
      <c r="D43" t="s">
        <v>23</v>
      </c>
      <c r="E43" t="s">
        <v>360</v>
      </c>
      <c r="F43" s="2" t="s">
        <v>361</v>
      </c>
      <c r="G43" t="s">
        <v>362</v>
      </c>
      <c r="H43">
        <v>1</v>
      </c>
      <c r="I43">
        <v>1100</v>
      </c>
      <c r="J43">
        <v>50</v>
      </c>
      <c r="K43">
        <v>1050</v>
      </c>
      <c r="L43">
        <v>680</v>
      </c>
      <c r="M43">
        <v>370</v>
      </c>
      <c r="N43" t="s">
        <v>576</v>
      </c>
      <c r="O43" t="s">
        <v>269</v>
      </c>
      <c r="P43" t="s">
        <v>18</v>
      </c>
      <c r="Q43" t="s">
        <v>568</v>
      </c>
      <c r="R43" s="14">
        <v>0.35238095238095202</v>
      </c>
    </row>
    <row r="44" spans="1:18" hidden="1" x14ac:dyDescent="0.3">
      <c r="A44" t="s">
        <v>618</v>
      </c>
      <c r="B44" s="1">
        <v>46108</v>
      </c>
      <c r="C44" t="s">
        <v>1230</v>
      </c>
      <c r="D44" t="s">
        <v>109</v>
      </c>
      <c r="E44" t="s">
        <v>345</v>
      </c>
      <c r="F44" s="2" t="s">
        <v>346</v>
      </c>
      <c r="G44" t="s">
        <v>347</v>
      </c>
      <c r="H44">
        <v>1</v>
      </c>
      <c r="I44">
        <v>700</v>
      </c>
      <c r="J44">
        <v>20</v>
      </c>
      <c r="K44">
        <v>680</v>
      </c>
      <c r="L44">
        <v>410</v>
      </c>
      <c r="M44">
        <v>270</v>
      </c>
      <c r="N44" t="s">
        <v>573</v>
      </c>
      <c r="O44" t="s">
        <v>266</v>
      </c>
      <c r="P44" t="s">
        <v>18</v>
      </c>
      <c r="Q44" t="s">
        <v>571</v>
      </c>
      <c r="R44" s="14">
        <v>0.39705882352941202</v>
      </c>
    </row>
    <row r="45" spans="1:18" x14ac:dyDescent="0.3">
      <c r="A45" t="s">
        <v>619</v>
      </c>
      <c r="B45" s="1">
        <v>46202</v>
      </c>
      <c r="C45" t="s">
        <v>1233</v>
      </c>
      <c r="D45" t="s">
        <v>91</v>
      </c>
      <c r="E45" t="s">
        <v>419</v>
      </c>
      <c r="F45" s="2" t="s">
        <v>420</v>
      </c>
      <c r="G45" t="s">
        <v>362</v>
      </c>
      <c r="H45">
        <v>2</v>
      </c>
      <c r="I45">
        <v>1350</v>
      </c>
      <c r="J45">
        <v>0</v>
      </c>
      <c r="K45">
        <v>2700</v>
      </c>
      <c r="L45">
        <v>1700</v>
      </c>
      <c r="M45">
        <v>1000</v>
      </c>
      <c r="N45" t="s">
        <v>570</v>
      </c>
      <c r="O45" t="s">
        <v>266</v>
      </c>
      <c r="P45" t="s">
        <v>13</v>
      </c>
      <c r="Q45" t="s">
        <v>574</v>
      </c>
      <c r="R45" s="14">
        <v>0.37037037037037002</v>
      </c>
    </row>
    <row r="46" spans="1:18" hidden="1" x14ac:dyDescent="0.3">
      <c r="A46" t="s">
        <v>620</v>
      </c>
      <c r="B46" s="1">
        <v>46125</v>
      </c>
      <c r="C46" t="s">
        <v>1231</v>
      </c>
      <c r="D46" t="s">
        <v>143</v>
      </c>
      <c r="E46" t="s">
        <v>341</v>
      </c>
      <c r="F46" s="2" t="s">
        <v>342</v>
      </c>
      <c r="G46" t="s">
        <v>343</v>
      </c>
      <c r="H46">
        <v>1</v>
      </c>
      <c r="I46">
        <v>750</v>
      </c>
      <c r="J46">
        <v>100</v>
      </c>
      <c r="K46">
        <v>650</v>
      </c>
      <c r="L46">
        <v>430</v>
      </c>
      <c r="M46">
        <v>220</v>
      </c>
      <c r="N46" t="s">
        <v>567</v>
      </c>
      <c r="O46" t="s">
        <v>266</v>
      </c>
      <c r="P46" t="s">
        <v>8</v>
      </c>
      <c r="Q46" t="s">
        <v>574</v>
      </c>
      <c r="R46" s="14">
        <v>0.33846153846153798</v>
      </c>
    </row>
    <row r="47" spans="1:18" x14ac:dyDescent="0.3">
      <c r="A47" t="s">
        <v>621</v>
      </c>
      <c r="B47" s="1">
        <v>46136</v>
      </c>
      <c r="C47" t="s">
        <v>1231</v>
      </c>
      <c r="D47" t="s">
        <v>219</v>
      </c>
      <c r="E47" t="s">
        <v>360</v>
      </c>
      <c r="F47" s="2" t="s">
        <v>361</v>
      </c>
      <c r="G47" t="s">
        <v>362</v>
      </c>
      <c r="H47">
        <v>1</v>
      </c>
      <c r="I47">
        <v>1100</v>
      </c>
      <c r="J47">
        <v>0</v>
      </c>
      <c r="K47">
        <v>1100</v>
      </c>
      <c r="L47">
        <v>680</v>
      </c>
      <c r="M47">
        <v>420</v>
      </c>
      <c r="N47" t="s">
        <v>570</v>
      </c>
      <c r="O47" t="s">
        <v>269</v>
      </c>
      <c r="P47" t="s">
        <v>18</v>
      </c>
      <c r="Q47" t="s">
        <v>568</v>
      </c>
      <c r="R47" s="14">
        <v>0.381818181818182</v>
      </c>
    </row>
    <row r="48" spans="1:18" hidden="1" x14ac:dyDescent="0.3">
      <c r="A48" t="s">
        <v>622</v>
      </c>
      <c r="B48" s="1">
        <v>46139</v>
      </c>
      <c r="C48" t="s">
        <v>1231</v>
      </c>
      <c r="D48" t="s">
        <v>131</v>
      </c>
      <c r="E48" t="s">
        <v>369</v>
      </c>
      <c r="F48" s="2" t="s">
        <v>370</v>
      </c>
      <c r="G48" t="s">
        <v>371</v>
      </c>
      <c r="H48">
        <v>1</v>
      </c>
      <c r="I48">
        <v>1450</v>
      </c>
      <c r="J48">
        <v>0</v>
      </c>
      <c r="K48">
        <v>1450</v>
      </c>
      <c r="L48">
        <v>900</v>
      </c>
      <c r="M48">
        <v>550</v>
      </c>
      <c r="N48" t="s">
        <v>573</v>
      </c>
      <c r="O48" t="s">
        <v>266</v>
      </c>
      <c r="P48" t="s">
        <v>13</v>
      </c>
      <c r="Q48" t="s">
        <v>568</v>
      </c>
      <c r="R48" s="14">
        <v>0.37931034482758602</v>
      </c>
    </row>
    <row r="49" spans="1:18" hidden="1" x14ac:dyDescent="0.3">
      <c r="A49" t="s">
        <v>623</v>
      </c>
      <c r="B49" s="1">
        <v>46148</v>
      </c>
      <c r="C49" t="s">
        <v>1237</v>
      </c>
      <c r="D49" t="s">
        <v>243</v>
      </c>
      <c r="E49" t="s">
        <v>369</v>
      </c>
      <c r="F49" s="2" t="s">
        <v>370</v>
      </c>
      <c r="G49" t="s">
        <v>371</v>
      </c>
      <c r="H49">
        <v>1</v>
      </c>
      <c r="I49">
        <v>1450</v>
      </c>
      <c r="J49">
        <v>0</v>
      </c>
      <c r="K49">
        <v>1450</v>
      </c>
      <c r="L49">
        <v>900</v>
      </c>
      <c r="M49">
        <v>550</v>
      </c>
      <c r="N49" t="s">
        <v>573</v>
      </c>
      <c r="O49" t="s">
        <v>266</v>
      </c>
      <c r="P49" t="s">
        <v>13</v>
      </c>
      <c r="Q49" t="s">
        <v>568</v>
      </c>
      <c r="R49" s="14">
        <v>0.37931034482758602</v>
      </c>
    </row>
    <row r="50" spans="1:18" hidden="1" x14ac:dyDescent="0.3">
      <c r="A50" t="s">
        <v>624</v>
      </c>
      <c r="B50" s="1">
        <v>46044</v>
      </c>
      <c r="C50" t="s">
        <v>1234</v>
      </c>
      <c r="D50" t="s">
        <v>193</v>
      </c>
      <c r="E50" t="s">
        <v>366</v>
      </c>
      <c r="F50" s="2" t="s">
        <v>367</v>
      </c>
      <c r="G50" t="s">
        <v>352</v>
      </c>
      <c r="H50">
        <v>2</v>
      </c>
      <c r="I50">
        <v>1500</v>
      </c>
      <c r="J50">
        <v>20</v>
      </c>
      <c r="K50">
        <v>2980</v>
      </c>
      <c r="L50">
        <v>1840</v>
      </c>
      <c r="M50">
        <v>1140</v>
      </c>
      <c r="N50" t="s">
        <v>570</v>
      </c>
      <c r="O50" t="s">
        <v>266</v>
      </c>
      <c r="P50" t="s">
        <v>8</v>
      </c>
      <c r="Q50" t="s">
        <v>568</v>
      </c>
      <c r="R50" s="14">
        <v>0.38255033557047002</v>
      </c>
    </row>
    <row r="51" spans="1:18" hidden="1" x14ac:dyDescent="0.3">
      <c r="A51" t="s">
        <v>625</v>
      </c>
      <c r="B51" s="1">
        <v>46242</v>
      </c>
      <c r="C51" t="s">
        <v>1236</v>
      </c>
      <c r="D51" t="s">
        <v>145</v>
      </c>
      <c r="E51" t="s">
        <v>341</v>
      </c>
      <c r="F51" s="2" t="s">
        <v>342</v>
      </c>
      <c r="G51" t="s">
        <v>343</v>
      </c>
      <c r="H51">
        <v>1</v>
      </c>
      <c r="I51">
        <v>750</v>
      </c>
      <c r="J51">
        <v>0</v>
      </c>
      <c r="K51">
        <v>750</v>
      </c>
      <c r="L51">
        <v>430</v>
      </c>
      <c r="M51">
        <v>320</v>
      </c>
      <c r="N51" t="s">
        <v>573</v>
      </c>
      <c r="O51" t="s">
        <v>266</v>
      </c>
      <c r="P51" t="s">
        <v>8</v>
      </c>
      <c r="Q51" t="s">
        <v>571</v>
      </c>
      <c r="R51" s="14">
        <v>0.42666666666666703</v>
      </c>
    </row>
    <row r="52" spans="1:18" hidden="1" x14ac:dyDescent="0.3">
      <c r="A52" t="s">
        <v>626</v>
      </c>
      <c r="B52" s="1">
        <v>46198</v>
      </c>
      <c r="C52" t="s">
        <v>1233</v>
      </c>
      <c r="D52" t="s">
        <v>177</v>
      </c>
      <c r="E52" t="s">
        <v>341</v>
      </c>
      <c r="F52" s="2" t="s">
        <v>342</v>
      </c>
      <c r="G52" t="s">
        <v>343</v>
      </c>
      <c r="H52">
        <v>1</v>
      </c>
      <c r="I52">
        <v>750</v>
      </c>
      <c r="J52">
        <v>0</v>
      </c>
      <c r="K52">
        <v>750</v>
      </c>
      <c r="L52">
        <v>430</v>
      </c>
      <c r="M52">
        <v>320</v>
      </c>
      <c r="N52" t="s">
        <v>576</v>
      </c>
      <c r="O52" t="s">
        <v>269</v>
      </c>
      <c r="P52" t="s">
        <v>8</v>
      </c>
      <c r="Q52" t="s">
        <v>568</v>
      </c>
      <c r="R52" s="14">
        <v>0.42666666666666703</v>
      </c>
    </row>
    <row r="53" spans="1:18" x14ac:dyDescent="0.3">
      <c r="A53" t="s">
        <v>627</v>
      </c>
      <c r="B53" s="1">
        <v>46122</v>
      </c>
      <c r="C53" t="s">
        <v>1231</v>
      </c>
      <c r="D53" t="s">
        <v>75</v>
      </c>
      <c r="E53" t="s">
        <v>360</v>
      </c>
      <c r="F53" s="2" t="s">
        <v>361</v>
      </c>
      <c r="G53" t="s">
        <v>362</v>
      </c>
      <c r="H53">
        <v>1</v>
      </c>
      <c r="I53">
        <v>1100</v>
      </c>
      <c r="J53">
        <v>100</v>
      </c>
      <c r="K53">
        <v>1000</v>
      </c>
      <c r="L53">
        <v>680</v>
      </c>
      <c r="M53">
        <v>320</v>
      </c>
      <c r="N53" t="s">
        <v>576</v>
      </c>
      <c r="O53" t="s">
        <v>269</v>
      </c>
      <c r="P53" t="s">
        <v>8</v>
      </c>
      <c r="Q53" t="s">
        <v>574</v>
      </c>
      <c r="R53" s="14">
        <v>0.32</v>
      </c>
    </row>
    <row r="54" spans="1:18" hidden="1" x14ac:dyDescent="0.3">
      <c r="A54" t="s">
        <v>628</v>
      </c>
      <c r="B54" s="1">
        <v>46259</v>
      </c>
      <c r="C54" t="s">
        <v>1236</v>
      </c>
      <c r="D54" t="s">
        <v>14</v>
      </c>
      <c r="E54" t="s">
        <v>369</v>
      </c>
      <c r="F54" s="2" t="s">
        <v>370</v>
      </c>
      <c r="G54" t="s">
        <v>371</v>
      </c>
      <c r="H54">
        <v>1</v>
      </c>
      <c r="I54">
        <v>1450</v>
      </c>
      <c r="J54">
        <v>20</v>
      </c>
      <c r="K54">
        <v>1430</v>
      </c>
      <c r="L54">
        <v>900</v>
      </c>
      <c r="M54">
        <v>530</v>
      </c>
      <c r="N54" t="s">
        <v>579</v>
      </c>
      <c r="O54" t="s">
        <v>269</v>
      </c>
      <c r="P54" t="s">
        <v>18</v>
      </c>
      <c r="Q54" t="s">
        <v>585</v>
      </c>
      <c r="R54" s="14">
        <v>0.37062937062937101</v>
      </c>
    </row>
    <row r="55" spans="1:18" hidden="1" x14ac:dyDescent="0.3">
      <c r="A55" t="s">
        <v>629</v>
      </c>
      <c r="B55" s="1">
        <v>46183</v>
      </c>
      <c r="C55" t="s">
        <v>1233</v>
      </c>
      <c r="D55" t="s">
        <v>129</v>
      </c>
      <c r="E55" t="s">
        <v>350</v>
      </c>
      <c r="F55" s="2" t="s">
        <v>351</v>
      </c>
      <c r="G55" t="s">
        <v>352</v>
      </c>
      <c r="H55">
        <v>1</v>
      </c>
      <c r="I55">
        <v>900</v>
      </c>
      <c r="J55">
        <v>50</v>
      </c>
      <c r="K55">
        <v>850</v>
      </c>
      <c r="L55">
        <v>540</v>
      </c>
      <c r="M55">
        <v>310</v>
      </c>
      <c r="N55" t="s">
        <v>570</v>
      </c>
      <c r="O55" t="s">
        <v>269</v>
      </c>
      <c r="P55" t="s">
        <v>13</v>
      </c>
      <c r="Q55" t="s">
        <v>574</v>
      </c>
      <c r="R55" s="14">
        <v>0.36470588235294099</v>
      </c>
    </row>
    <row r="56" spans="1:18" hidden="1" x14ac:dyDescent="0.3">
      <c r="A56" t="s">
        <v>630</v>
      </c>
      <c r="B56" s="1">
        <v>46066</v>
      </c>
      <c r="C56" t="s">
        <v>1235</v>
      </c>
      <c r="D56" t="s">
        <v>65</v>
      </c>
      <c r="E56" t="s">
        <v>387</v>
      </c>
      <c r="F56" s="2" t="s">
        <v>388</v>
      </c>
      <c r="G56" t="s">
        <v>347</v>
      </c>
      <c r="H56">
        <v>4</v>
      </c>
      <c r="I56">
        <v>850</v>
      </c>
      <c r="J56">
        <v>75</v>
      </c>
      <c r="K56">
        <v>3325</v>
      </c>
      <c r="L56">
        <v>2080</v>
      </c>
      <c r="M56">
        <v>1245</v>
      </c>
      <c r="N56" t="s">
        <v>567</v>
      </c>
      <c r="O56" t="s">
        <v>266</v>
      </c>
      <c r="P56" t="s">
        <v>18</v>
      </c>
      <c r="Q56" t="s">
        <v>568</v>
      </c>
      <c r="R56" s="14">
        <v>0.37443609022556401</v>
      </c>
    </row>
    <row r="57" spans="1:18" hidden="1" x14ac:dyDescent="0.3">
      <c r="A57" t="s">
        <v>631</v>
      </c>
      <c r="B57" s="1">
        <v>46103</v>
      </c>
      <c r="C57" t="s">
        <v>1230</v>
      </c>
      <c r="D57" t="s">
        <v>187</v>
      </c>
      <c r="E57" t="s">
        <v>366</v>
      </c>
      <c r="F57" s="2" t="s">
        <v>367</v>
      </c>
      <c r="G57" t="s">
        <v>352</v>
      </c>
      <c r="H57">
        <v>1</v>
      </c>
      <c r="I57">
        <v>1500</v>
      </c>
      <c r="J57">
        <v>50</v>
      </c>
      <c r="K57">
        <v>1450</v>
      </c>
      <c r="L57">
        <v>920</v>
      </c>
      <c r="M57">
        <v>530</v>
      </c>
      <c r="N57" t="s">
        <v>567</v>
      </c>
      <c r="O57" t="s">
        <v>266</v>
      </c>
      <c r="P57" t="s">
        <v>8</v>
      </c>
      <c r="Q57" t="s">
        <v>568</v>
      </c>
      <c r="R57" s="14">
        <v>0.36551724137931002</v>
      </c>
    </row>
    <row r="58" spans="1:18" hidden="1" x14ac:dyDescent="0.3">
      <c r="A58" t="s">
        <v>632</v>
      </c>
      <c r="B58" s="1">
        <v>46080</v>
      </c>
      <c r="C58" t="s">
        <v>1235</v>
      </c>
      <c r="D58" t="s">
        <v>241</v>
      </c>
      <c r="E58" t="s">
        <v>345</v>
      </c>
      <c r="F58" s="2" t="s">
        <v>346</v>
      </c>
      <c r="G58" t="s">
        <v>347</v>
      </c>
      <c r="H58">
        <v>1</v>
      </c>
      <c r="I58">
        <v>700</v>
      </c>
      <c r="J58">
        <v>20</v>
      </c>
      <c r="K58">
        <v>680</v>
      </c>
      <c r="L58">
        <v>410</v>
      </c>
      <c r="M58">
        <v>270</v>
      </c>
      <c r="N58" t="s">
        <v>579</v>
      </c>
      <c r="O58" t="s">
        <v>269</v>
      </c>
      <c r="P58" t="s">
        <v>18</v>
      </c>
      <c r="Q58" t="s">
        <v>585</v>
      </c>
      <c r="R58" s="14">
        <v>0.39705882352941202</v>
      </c>
    </row>
    <row r="59" spans="1:18" hidden="1" x14ac:dyDescent="0.3">
      <c r="A59" t="s">
        <v>633</v>
      </c>
      <c r="B59" s="1">
        <v>46186</v>
      </c>
      <c r="C59" t="s">
        <v>1233</v>
      </c>
      <c r="D59" t="s">
        <v>27</v>
      </c>
      <c r="E59" t="s">
        <v>355</v>
      </c>
      <c r="F59" s="2" t="s">
        <v>356</v>
      </c>
      <c r="G59" t="s">
        <v>343</v>
      </c>
      <c r="H59">
        <v>1</v>
      </c>
      <c r="I59">
        <v>550</v>
      </c>
      <c r="J59">
        <v>82.5</v>
      </c>
      <c r="K59">
        <v>467.5</v>
      </c>
      <c r="L59">
        <v>300</v>
      </c>
      <c r="M59">
        <v>167.5</v>
      </c>
      <c r="N59" t="s">
        <v>567</v>
      </c>
      <c r="O59" t="s">
        <v>269</v>
      </c>
      <c r="P59" t="s">
        <v>18</v>
      </c>
      <c r="Q59" t="s">
        <v>571</v>
      </c>
      <c r="R59" s="14">
        <v>0.35828877005347598</v>
      </c>
    </row>
    <row r="60" spans="1:18" hidden="1" x14ac:dyDescent="0.3">
      <c r="A60" t="s">
        <v>634</v>
      </c>
      <c r="B60" s="1">
        <v>46174</v>
      </c>
      <c r="C60" t="s">
        <v>1233</v>
      </c>
      <c r="D60" t="s">
        <v>53</v>
      </c>
      <c r="E60" t="s">
        <v>355</v>
      </c>
      <c r="F60" s="2" t="s">
        <v>356</v>
      </c>
      <c r="G60" t="s">
        <v>343</v>
      </c>
      <c r="H60">
        <v>1</v>
      </c>
      <c r="I60">
        <v>550</v>
      </c>
      <c r="J60">
        <v>50</v>
      </c>
      <c r="K60">
        <v>500</v>
      </c>
      <c r="L60">
        <v>300</v>
      </c>
      <c r="M60">
        <v>200</v>
      </c>
      <c r="N60" t="s">
        <v>567</v>
      </c>
      <c r="O60" t="s">
        <v>266</v>
      </c>
      <c r="P60" t="s">
        <v>13</v>
      </c>
      <c r="Q60" t="s">
        <v>574</v>
      </c>
      <c r="R60" s="14">
        <v>0.4</v>
      </c>
    </row>
    <row r="61" spans="1:18" x14ac:dyDescent="0.3">
      <c r="A61" t="s">
        <v>635</v>
      </c>
      <c r="B61" s="1">
        <v>46039</v>
      </c>
      <c r="C61" t="s">
        <v>1234</v>
      </c>
      <c r="D61" t="s">
        <v>233</v>
      </c>
      <c r="E61" t="s">
        <v>360</v>
      </c>
      <c r="F61" s="2" t="s">
        <v>361</v>
      </c>
      <c r="G61" t="s">
        <v>362</v>
      </c>
      <c r="H61">
        <v>2</v>
      </c>
      <c r="I61">
        <v>1100</v>
      </c>
      <c r="J61">
        <v>0</v>
      </c>
      <c r="K61">
        <v>2200</v>
      </c>
      <c r="L61">
        <v>1360</v>
      </c>
      <c r="M61">
        <v>840</v>
      </c>
      <c r="N61" t="s">
        <v>576</v>
      </c>
      <c r="O61" t="s">
        <v>266</v>
      </c>
      <c r="P61" t="s">
        <v>13</v>
      </c>
      <c r="Q61" t="s">
        <v>568</v>
      </c>
      <c r="R61" s="14">
        <v>0.381818181818182</v>
      </c>
    </row>
    <row r="62" spans="1:18" hidden="1" x14ac:dyDescent="0.3">
      <c r="A62" t="s">
        <v>636</v>
      </c>
      <c r="B62" s="1">
        <v>46211</v>
      </c>
      <c r="C62" t="s">
        <v>1232</v>
      </c>
      <c r="D62" t="s">
        <v>217</v>
      </c>
      <c r="E62" t="s">
        <v>393</v>
      </c>
      <c r="F62" s="2" t="s">
        <v>394</v>
      </c>
      <c r="G62" t="s">
        <v>371</v>
      </c>
      <c r="H62">
        <v>1</v>
      </c>
      <c r="I62">
        <v>1150</v>
      </c>
      <c r="J62">
        <v>0</v>
      </c>
      <c r="K62">
        <v>1150</v>
      </c>
      <c r="L62">
        <v>700</v>
      </c>
      <c r="M62">
        <v>450</v>
      </c>
      <c r="N62" t="s">
        <v>570</v>
      </c>
      <c r="O62" t="s">
        <v>266</v>
      </c>
      <c r="P62" t="s">
        <v>13</v>
      </c>
      <c r="Q62" t="s">
        <v>568</v>
      </c>
      <c r="R62" s="14">
        <v>0.39130434782608697</v>
      </c>
    </row>
    <row r="63" spans="1:18" hidden="1" x14ac:dyDescent="0.3">
      <c r="A63" t="s">
        <v>637</v>
      </c>
      <c r="B63" s="1">
        <v>46133</v>
      </c>
      <c r="C63" t="s">
        <v>1231</v>
      </c>
      <c r="D63" t="s">
        <v>39</v>
      </c>
      <c r="E63" t="s">
        <v>396</v>
      </c>
      <c r="F63" s="2" t="s">
        <v>397</v>
      </c>
      <c r="G63" t="s">
        <v>376</v>
      </c>
      <c r="H63">
        <v>2</v>
      </c>
      <c r="I63">
        <v>600</v>
      </c>
      <c r="J63">
        <v>20</v>
      </c>
      <c r="K63">
        <v>1180</v>
      </c>
      <c r="L63">
        <v>700</v>
      </c>
      <c r="M63">
        <v>480</v>
      </c>
      <c r="N63" t="s">
        <v>567</v>
      </c>
      <c r="O63" t="s">
        <v>269</v>
      </c>
      <c r="P63" t="s">
        <v>18</v>
      </c>
      <c r="Q63" t="s">
        <v>574</v>
      </c>
      <c r="R63" s="14">
        <v>0.40677966101694901</v>
      </c>
    </row>
    <row r="64" spans="1:18" hidden="1" x14ac:dyDescent="0.3">
      <c r="A64" t="s">
        <v>638</v>
      </c>
      <c r="B64" s="1">
        <v>46173</v>
      </c>
      <c r="C64" t="s">
        <v>1237</v>
      </c>
      <c r="D64" t="s">
        <v>39</v>
      </c>
      <c r="E64" t="s">
        <v>355</v>
      </c>
      <c r="F64" s="2" t="s">
        <v>356</v>
      </c>
      <c r="G64" t="s">
        <v>343</v>
      </c>
      <c r="H64">
        <v>2</v>
      </c>
      <c r="I64">
        <v>550</v>
      </c>
      <c r="J64">
        <v>50</v>
      </c>
      <c r="K64">
        <v>1050</v>
      </c>
      <c r="L64">
        <v>600</v>
      </c>
      <c r="M64">
        <v>450</v>
      </c>
      <c r="N64" t="s">
        <v>573</v>
      </c>
      <c r="O64" t="s">
        <v>269</v>
      </c>
      <c r="P64" t="s">
        <v>13</v>
      </c>
      <c r="Q64" t="s">
        <v>585</v>
      </c>
      <c r="R64" s="14">
        <v>0.42857142857142899</v>
      </c>
    </row>
    <row r="65" spans="1:18" hidden="1" x14ac:dyDescent="0.3">
      <c r="A65" t="s">
        <v>639</v>
      </c>
      <c r="B65" s="1">
        <v>46155</v>
      </c>
      <c r="C65" t="s">
        <v>1237</v>
      </c>
      <c r="D65" t="s">
        <v>77</v>
      </c>
      <c r="E65" t="s">
        <v>369</v>
      </c>
      <c r="F65" s="2" t="s">
        <v>370</v>
      </c>
      <c r="G65" t="s">
        <v>371</v>
      </c>
      <c r="H65">
        <v>1</v>
      </c>
      <c r="I65">
        <v>1450</v>
      </c>
      <c r="J65">
        <v>20</v>
      </c>
      <c r="K65">
        <v>1430</v>
      </c>
      <c r="L65">
        <v>900</v>
      </c>
      <c r="M65">
        <v>530</v>
      </c>
      <c r="N65" t="s">
        <v>567</v>
      </c>
      <c r="O65" t="s">
        <v>269</v>
      </c>
      <c r="P65" t="s">
        <v>18</v>
      </c>
      <c r="Q65" t="s">
        <v>568</v>
      </c>
      <c r="R65" s="14">
        <v>0.37062937062937101</v>
      </c>
    </row>
    <row r="66" spans="1:18" hidden="1" x14ac:dyDescent="0.3">
      <c r="A66" t="s">
        <v>640</v>
      </c>
      <c r="B66" s="1">
        <v>46167</v>
      </c>
      <c r="C66" t="s">
        <v>1237</v>
      </c>
      <c r="D66" t="s">
        <v>211</v>
      </c>
      <c r="E66" t="s">
        <v>350</v>
      </c>
      <c r="F66" s="2" t="s">
        <v>351</v>
      </c>
      <c r="G66" t="s">
        <v>352</v>
      </c>
      <c r="H66">
        <v>2</v>
      </c>
      <c r="I66">
        <v>900</v>
      </c>
      <c r="J66">
        <v>75</v>
      </c>
      <c r="K66">
        <v>1725</v>
      </c>
      <c r="L66">
        <v>1080</v>
      </c>
      <c r="M66">
        <v>645</v>
      </c>
      <c r="N66" t="s">
        <v>567</v>
      </c>
      <c r="O66" t="s">
        <v>266</v>
      </c>
      <c r="P66" t="s">
        <v>8</v>
      </c>
      <c r="Q66" t="s">
        <v>568</v>
      </c>
      <c r="R66" s="14">
        <v>0.37391304347826099</v>
      </c>
    </row>
    <row r="67" spans="1:18" hidden="1" x14ac:dyDescent="0.3">
      <c r="A67" t="s">
        <v>641</v>
      </c>
      <c r="B67" s="1">
        <v>46187</v>
      </c>
      <c r="C67" t="s">
        <v>1233</v>
      </c>
      <c r="D67" t="s">
        <v>83</v>
      </c>
      <c r="E67" t="s">
        <v>393</v>
      </c>
      <c r="F67" s="2" t="s">
        <v>394</v>
      </c>
      <c r="G67" t="s">
        <v>371</v>
      </c>
      <c r="H67">
        <v>2</v>
      </c>
      <c r="I67">
        <v>1150</v>
      </c>
      <c r="J67">
        <v>0</v>
      </c>
      <c r="K67">
        <v>2300</v>
      </c>
      <c r="L67">
        <v>1400</v>
      </c>
      <c r="M67">
        <v>900</v>
      </c>
      <c r="N67" t="s">
        <v>570</v>
      </c>
      <c r="O67" t="s">
        <v>266</v>
      </c>
      <c r="P67" t="s">
        <v>13</v>
      </c>
      <c r="Q67" t="s">
        <v>568</v>
      </c>
      <c r="R67" s="14">
        <v>0.39130434782608697</v>
      </c>
    </row>
    <row r="68" spans="1:18" hidden="1" x14ac:dyDescent="0.3">
      <c r="A68" t="s">
        <v>642</v>
      </c>
      <c r="B68" s="1">
        <v>46067</v>
      </c>
      <c r="C68" t="s">
        <v>1235</v>
      </c>
      <c r="D68" t="s">
        <v>14</v>
      </c>
      <c r="E68" t="s">
        <v>355</v>
      </c>
      <c r="F68" s="2" t="s">
        <v>356</v>
      </c>
      <c r="G68" t="s">
        <v>343</v>
      </c>
      <c r="H68">
        <v>1</v>
      </c>
      <c r="I68">
        <v>550</v>
      </c>
      <c r="J68">
        <v>75</v>
      </c>
      <c r="K68">
        <v>475</v>
      </c>
      <c r="L68">
        <v>300</v>
      </c>
      <c r="M68">
        <v>175</v>
      </c>
      <c r="N68" t="s">
        <v>576</v>
      </c>
      <c r="O68" t="s">
        <v>266</v>
      </c>
      <c r="P68" t="s">
        <v>18</v>
      </c>
      <c r="Q68" t="s">
        <v>574</v>
      </c>
      <c r="R68" s="14">
        <v>0.36842105263157898</v>
      </c>
    </row>
    <row r="69" spans="1:18" hidden="1" x14ac:dyDescent="0.3">
      <c r="A69" t="s">
        <v>643</v>
      </c>
      <c r="B69" s="1">
        <v>46112</v>
      </c>
      <c r="C69" t="s">
        <v>1230</v>
      </c>
      <c r="D69" t="s">
        <v>45</v>
      </c>
      <c r="E69" t="s">
        <v>350</v>
      </c>
      <c r="F69" s="2" t="s">
        <v>351</v>
      </c>
      <c r="G69" t="s">
        <v>352</v>
      </c>
      <c r="H69">
        <v>2</v>
      </c>
      <c r="I69">
        <v>900</v>
      </c>
      <c r="J69">
        <v>20</v>
      </c>
      <c r="K69">
        <v>1780</v>
      </c>
      <c r="L69">
        <v>1080</v>
      </c>
      <c r="M69">
        <v>700</v>
      </c>
      <c r="N69" t="s">
        <v>570</v>
      </c>
      <c r="O69" t="s">
        <v>269</v>
      </c>
      <c r="P69" t="s">
        <v>13</v>
      </c>
      <c r="Q69" t="s">
        <v>568</v>
      </c>
      <c r="R69" s="14">
        <v>0.39325842696629199</v>
      </c>
    </row>
    <row r="70" spans="1:18" hidden="1" x14ac:dyDescent="0.3">
      <c r="A70" t="s">
        <v>644</v>
      </c>
      <c r="B70" s="1">
        <v>46083</v>
      </c>
      <c r="C70" t="s">
        <v>1230</v>
      </c>
      <c r="D70" t="s">
        <v>217</v>
      </c>
      <c r="E70" t="s">
        <v>396</v>
      </c>
      <c r="F70" s="2" t="s">
        <v>397</v>
      </c>
      <c r="G70" t="s">
        <v>376</v>
      </c>
      <c r="H70">
        <v>1</v>
      </c>
      <c r="I70">
        <v>600</v>
      </c>
      <c r="J70">
        <v>0</v>
      </c>
      <c r="K70">
        <v>600</v>
      </c>
      <c r="L70">
        <v>350</v>
      </c>
      <c r="M70">
        <v>250</v>
      </c>
      <c r="N70" t="s">
        <v>573</v>
      </c>
      <c r="O70" t="s">
        <v>269</v>
      </c>
      <c r="P70" t="s">
        <v>13</v>
      </c>
      <c r="Q70" t="s">
        <v>568</v>
      </c>
      <c r="R70" s="14">
        <v>0.41666666666666702</v>
      </c>
    </row>
    <row r="71" spans="1:18" hidden="1" x14ac:dyDescent="0.3">
      <c r="A71" t="s">
        <v>645</v>
      </c>
      <c r="B71" s="1">
        <v>46078</v>
      </c>
      <c r="C71" t="s">
        <v>1235</v>
      </c>
      <c r="D71" t="s">
        <v>73</v>
      </c>
      <c r="E71" t="s">
        <v>382</v>
      </c>
      <c r="F71" s="2" t="s">
        <v>383</v>
      </c>
      <c r="G71" t="s">
        <v>384</v>
      </c>
      <c r="H71">
        <v>1</v>
      </c>
      <c r="I71">
        <v>1200</v>
      </c>
      <c r="J71">
        <v>0</v>
      </c>
      <c r="K71">
        <v>1200</v>
      </c>
      <c r="L71">
        <v>730</v>
      </c>
      <c r="M71">
        <v>470</v>
      </c>
      <c r="N71" t="s">
        <v>567</v>
      </c>
      <c r="O71" t="s">
        <v>266</v>
      </c>
      <c r="P71" t="s">
        <v>8</v>
      </c>
      <c r="Q71" t="s">
        <v>568</v>
      </c>
      <c r="R71" s="14">
        <v>0.391666666666667</v>
      </c>
    </row>
    <row r="72" spans="1:18" hidden="1" x14ac:dyDescent="0.3">
      <c r="A72" t="s">
        <v>646</v>
      </c>
      <c r="B72" s="1">
        <v>46140</v>
      </c>
      <c r="C72" t="s">
        <v>1231</v>
      </c>
      <c r="D72" t="s">
        <v>177</v>
      </c>
      <c r="E72" t="s">
        <v>366</v>
      </c>
      <c r="F72" s="2" t="s">
        <v>367</v>
      </c>
      <c r="G72" t="s">
        <v>352</v>
      </c>
      <c r="H72">
        <v>1</v>
      </c>
      <c r="I72">
        <v>1500</v>
      </c>
      <c r="J72">
        <v>75</v>
      </c>
      <c r="K72">
        <v>1425</v>
      </c>
      <c r="L72">
        <v>920</v>
      </c>
      <c r="M72">
        <v>505</v>
      </c>
      <c r="N72" t="s">
        <v>570</v>
      </c>
      <c r="O72" t="s">
        <v>266</v>
      </c>
      <c r="P72" t="s">
        <v>13</v>
      </c>
      <c r="Q72" t="s">
        <v>568</v>
      </c>
      <c r="R72" s="14">
        <v>0.35438596491228103</v>
      </c>
    </row>
    <row r="73" spans="1:18" hidden="1" x14ac:dyDescent="0.3">
      <c r="A73" t="s">
        <v>647</v>
      </c>
      <c r="B73" s="1">
        <v>46255</v>
      </c>
      <c r="C73" t="s">
        <v>1236</v>
      </c>
      <c r="D73" t="s">
        <v>105</v>
      </c>
      <c r="E73" t="s">
        <v>415</v>
      </c>
      <c r="F73" s="2" t="s">
        <v>416</v>
      </c>
      <c r="G73" t="s">
        <v>347</v>
      </c>
      <c r="H73">
        <v>4</v>
      </c>
      <c r="I73">
        <v>1250</v>
      </c>
      <c r="J73">
        <v>20</v>
      </c>
      <c r="K73">
        <v>4980</v>
      </c>
      <c r="L73">
        <v>3040</v>
      </c>
      <c r="M73">
        <v>1940</v>
      </c>
      <c r="N73" t="s">
        <v>573</v>
      </c>
      <c r="O73" t="s">
        <v>269</v>
      </c>
      <c r="P73" t="s">
        <v>8</v>
      </c>
      <c r="Q73" t="s">
        <v>574</v>
      </c>
      <c r="R73" s="14">
        <v>0.38955823293172698</v>
      </c>
    </row>
    <row r="74" spans="1:18" x14ac:dyDescent="0.3">
      <c r="A74" t="s">
        <v>648</v>
      </c>
      <c r="B74" s="1">
        <v>46246</v>
      </c>
      <c r="C74" t="s">
        <v>1236</v>
      </c>
      <c r="D74" t="s">
        <v>39</v>
      </c>
      <c r="E74" t="s">
        <v>360</v>
      </c>
      <c r="F74" s="2" t="s">
        <v>361</v>
      </c>
      <c r="G74" t="s">
        <v>362</v>
      </c>
      <c r="H74">
        <v>1</v>
      </c>
      <c r="I74">
        <v>1100</v>
      </c>
      <c r="J74">
        <v>0</v>
      </c>
      <c r="K74">
        <v>1100</v>
      </c>
      <c r="L74">
        <v>680</v>
      </c>
      <c r="M74">
        <v>420</v>
      </c>
      <c r="N74" t="s">
        <v>576</v>
      </c>
      <c r="O74" t="s">
        <v>266</v>
      </c>
      <c r="P74" t="s">
        <v>13</v>
      </c>
      <c r="Q74" t="s">
        <v>568</v>
      </c>
      <c r="R74" s="14">
        <v>0.381818181818182</v>
      </c>
    </row>
    <row r="75" spans="1:18" hidden="1" x14ac:dyDescent="0.3">
      <c r="A75" t="s">
        <v>649</v>
      </c>
      <c r="B75" s="1">
        <v>46082</v>
      </c>
      <c r="C75" t="s">
        <v>1230</v>
      </c>
      <c r="D75" t="s">
        <v>107</v>
      </c>
      <c r="E75" t="s">
        <v>350</v>
      </c>
      <c r="F75" s="2" t="s">
        <v>351</v>
      </c>
      <c r="G75" t="s">
        <v>352</v>
      </c>
      <c r="H75">
        <v>2</v>
      </c>
      <c r="I75">
        <v>900</v>
      </c>
      <c r="J75">
        <v>20</v>
      </c>
      <c r="K75">
        <v>1780</v>
      </c>
      <c r="L75">
        <v>1080</v>
      </c>
      <c r="M75">
        <v>700</v>
      </c>
      <c r="N75" t="s">
        <v>576</v>
      </c>
      <c r="O75" t="s">
        <v>266</v>
      </c>
      <c r="P75" t="s">
        <v>13</v>
      </c>
      <c r="Q75" t="s">
        <v>571</v>
      </c>
      <c r="R75" s="14">
        <v>0.39325842696629199</v>
      </c>
    </row>
    <row r="76" spans="1:18" hidden="1" x14ac:dyDescent="0.3">
      <c r="A76" t="s">
        <v>650</v>
      </c>
      <c r="B76" s="1">
        <v>46183</v>
      </c>
      <c r="C76" t="s">
        <v>1233</v>
      </c>
      <c r="D76" t="s">
        <v>241</v>
      </c>
      <c r="E76" t="s">
        <v>393</v>
      </c>
      <c r="F76" s="2" t="s">
        <v>394</v>
      </c>
      <c r="G76" t="s">
        <v>371</v>
      </c>
      <c r="H76">
        <v>2</v>
      </c>
      <c r="I76">
        <v>1150</v>
      </c>
      <c r="J76">
        <v>20</v>
      </c>
      <c r="K76">
        <v>2280</v>
      </c>
      <c r="L76">
        <v>1400</v>
      </c>
      <c r="M76">
        <v>880</v>
      </c>
      <c r="N76" t="s">
        <v>576</v>
      </c>
      <c r="O76" t="s">
        <v>269</v>
      </c>
      <c r="P76" t="s">
        <v>13</v>
      </c>
      <c r="Q76" t="s">
        <v>568</v>
      </c>
      <c r="R76" s="14">
        <v>0.38596491228070201</v>
      </c>
    </row>
    <row r="77" spans="1:18" hidden="1" x14ac:dyDescent="0.3">
      <c r="A77" t="s">
        <v>651</v>
      </c>
      <c r="B77" s="1">
        <v>46219</v>
      </c>
      <c r="C77" t="s">
        <v>1232</v>
      </c>
      <c r="D77" t="s">
        <v>101</v>
      </c>
      <c r="E77" t="s">
        <v>415</v>
      </c>
      <c r="F77" s="2" t="s">
        <v>416</v>
      </c>
      <c r="G77" t="s">
        <v>347</v>
      </c>
      <c r="H77">
        <v>2</v>
      </c>
      <c r="I77">
        <v>1250</v>
      </c>
      <c r="J77">
        <v>100</v>
      </c>
      <c r="K77">
        <v>2400</v>
      </c>
      <c r="L77">
        <v>1520</v>
      </c>
      <c r="M77">
        <v>880</v>
      </c>
      <c r="N77" t="s">
        <v>573</v>
      </c>
      <c r="O77" t="s">
        <v>266</v>
      </c>
      <c r="P77" t="s">
        <v>8</v>
      </c>
      <c r="Q77" t="s">
        <v>585</v>
      </c>
      <c r="R77" s="14">
        <v>0.36666666666666697</v>
      </c>
    </row>
    <row r="78" spans="1:18" hidden="1" x14ac:dyDescent="0.3">
      <c r="A78" t="s">
        <v>652</v>
      </c>
      <c r="B78" s="1">
        <v>46055</v>
      </c>
      <c r="C78" t="s">
        <v>1235</v>
      </c>
      <c r="D78" t="s">
        <v>243</v>
      </c>
      <c r="E78" t="s">
        <v>345</v>
      </c>
      <c r="F78" s="2" t="s">
        <v>346</v>
      </c>
      <c r="G78" t="s">
        <v>347</v>
      </c>
      <c r="H78">
        <v>2</v>
      </c>
      <c r="I78">
        <v>700</v>
      </c>
      <c r="J78">
        <v>0</v>
      </c>
      <c r="K78">
        <v>1400</v>
      </c>
      <c r="L78">
        <v>820</v>
      </c>
      <c r="M78">
        <v>580</v>
      </c>
      <c r="N78" t="s">
        <v>573</v>
      </c>
      <c r="O78" t="s">
        <v>266</v>
      </c>
      <c r="P78" t="s">
        <v>18</v>
      </c>
      <c r="Q78" t="s">
        <v>568</v>
      </c>
      <c r="R78" s="14">
        <v>0.41428571428571398</v>
      </c>
    </row>
    <row r="79" spans="1:18" hidden="1" x14ac:dyDescent="0.3">
      <c r="A79" t="s">
        <v>653</v>
      </c>
      <c r="B79" s="1">
        <v>46081</v>
      </c>
      <c r="C79" t="s">
        <v>1235</v>
      </c>
      <c r="D79" t="s">
        <v>61</v>
      </c>
      <c r="E79" t="s">
        <v>341</v>
      </c>
      <c r="F79" s="2" t="s">
        <v>342</v>
      </c>
      <c r="G79" t="s">
        <v>343</v>
      </c>
      <c r="H79">
        <v>2</v>
      </c>
      <c r="I79">
        <v>750</v>
      </c>
      <c r="J79">
        <v>20</v>
      </c>
      <c r="K79">
        <v>1480</v>
      </c>
      <c r="L79">
        <v>860</v>
      </c>
      <c r="M79">
        <v>620</v>
      </c>
      <c r="N79" t="s">
        <v>573</v>
      </c>
      <c r="O79" t="s">
        <v>269</v>
      </c>
      <c r="P79" t="s">
        <v>13</v>
      </c>
      <c r="Q79" t="s">
        <v>574</v>
      </c>
      <c r="R79" s="14">
        <v>0.41891891891891903</v>
      </c>
    </row>
    <row r="80" spans="1:18" hidden="1" x14ac:dyDescent="0.3">
      <c r="A80" t="s">
        <v>654</v>
      </c>
      <c r="B80" s="1">
        <v>46077</v>
      </c>
      <c r="C80" t="s">
        <v>1235</v>
      </c>
      <c r="D80" t="s">
        <v>19</v>
      </c>
      <c r="E80" t="s">
        <v>415</v>
      </c>
      <c r="F80" s="2" t="s">
        <v>416</v>
      </c>
      <c r="G80" t="s">
        <v>347</v>
      </c>
      <c r="H80">
        <v>1</v>
      </c>
      <c r="I80">
        <v>1250</v>
      </c>
      <c r="J80">
        <v>0</v>
      </c>
      <c r="K80">
        <v>1250</v>
      </c>
      <c r="L80">
        <v>760</v>
      </c>
      <c r="M80">
        <v>490</v>
      </c>
      <c r="N80" t="s">
        <v>576</v>
      </c>
      <c r="O80" t="s">
        <v>269</v>
      </c>
      <c r="P80" t="s">
        <v>13</v>
      </c>
      <c r="Q80" t="s">
        <v>571</v>
      </c>
      <c r="R80" s="14">
        <v>0.39200000000000002</v>
      </c>
    </row>
    <row r="81" spans="1:18" x14ac:dyDescent="0.3">
      <c r="A81" t="s">
        <v>655</v>
      </c>
      <c r="B81" s="1">
        <v>46075</v>
      </c>
      <c r="C81" t="s">
        <v>1235</v>
      </c>
      <c r="D81" t="s">
        <v>81</v>
      </c>
      <c r="E81" t="s">
        <v>419</v>
      </c>
      <c r="F81" s="2" t="s">
        <v>420</v>
      </c>
      <c r="G81" t="s">
        <v>362</v>
      </c>
      <c r="H81">
        <v>3</v>
      </c>
      <c r="I81">
        <v>1350</v>
      </c>
      <c r="J81">
        <v>20</v>
      </c>
      <c r="K81">
        <v>4030</v>
      </c>
      <c r="L81">
        <v>2550</v>
      </c>
      <c r="M81">
        <v>1480</v>
      </c>
      <c r="N81" t="s">
        <v>579</v>
      </c>
      <c r="O81" t="s">
        <v>266</v>
      </c>
      <c r="P81" t="s">
        <v>18</v>
      </c>
      <c r="Q81" t="s">
        <v>568</v>
      </c>
      <c r="R81" s="14">
        <v>0.36724565756823802</v>
      </c>
    </row>
    <row r="82" spans="1:18" hidden="1" x14ac:dyDescent="0.3">
      <c r="A82" t="s">
        <v>656</v>
      </c>
      <c r="B82" s="1">
        <v>46195</v>
      </c>
      <c r="C82" t="s">
        <v>1233</v>
      </c>
      <c r="D82" t="s">
        <v>161</v>
      </c>
      <c r="E82" t="s">
        <v>396</v>
      </c>
      <c r="F82" s="2" t="s">
        <v>397</v>
      </c>
      <c r="G82" t="s">
        <v>376</v>
      </c>
      <c r="H82">
        <v>1</v>
      </c>
      <c r="I82">
        <v>600</v>
      </c>
      <c r="J82">
        <v>0</v>
      </c>
      <c r="K82">
        <v>600</v>
      </c>
      <c r="L82">
        <v>350</v>
      </c>
      <c r="M82">
        <v>250</v>
      </c>
      <c r="N82" t="s">
        <v>576</v>
      </c>
      <c r="O82" t="s">
        <v>266</v>
      </c>
      <c r="P82" t="s">
        <v>13</v>
      </c>
      <c r="Q82" t="s">
        <v>574</v>
      </c>
      <c r="R82" s="14">
        <v>0.41666666666666702</v>
      </c>
    </row>
    <row r="83" spans="1:18" hidden="1" x14ac:dyDescent="0.3">
      <c r="A83" t="s">
        <v>657</v>
      </c>
      <c r="B83" s="1">
        <v>46176</v>
      </c>
      <c r="C83" t="s">
        <v>1233</v>
      </c>
      <c r="D83" t="s">
        <v>75</v>
      </c>
      <c r="E83" t="s">
        <v>345</v>
      </c>
      <c r="F83" s="2" t="s">
        <v>346</v>
      </c>
      <c r="G83" t="s">
        <v>347</v>
      </c>
      <c r="H83">
        <v>1</v>
      </c>
      <c r="I83">
        <v>700</v>
      </c>
      <c r="J83">
        <v>0</v>
      </c>
      <c r="K83">
        <v>700</v>
      </c>
      <c r="L83">
        <v>410</v>
      </c>
      <c r="M83">
        <v>290</v>
      </c>
      <c r="N83" t="s">
        <v>570</v>
      </c>
      <c r="O83" t="s">
        <v>269</v>
      </c>
      <c r="P83" t="s">
        <v>8</v>
      </c>
      <c r="Q83" t="s">
        <v>585</v>
      </c>
      <c r="R83" s="14">
        <v>0.41428571428571398</v>
      </c>
    </row>
    <row r="84" spans="1:18" x14ac:dyDescent="0.3">
      <c r="A84" t="s">
        <v>658</v>
      </c>
      <c r="B84" s="1">
        <v>46079</v>
      </c>
      <c r="C84" t="s">
        <v>1235</v>
      </c>
      <c r="D84" t="s">
        <v>41</v>
      </c>
      <c r="E84" t="s">
        <v>419</v>
      </c>
      <c r="F84" s="2" t="s">
        <v>420</v>
      </c>
      <c r="G84" t="s">
        <v>362</v>
      </c>
      <c r="H84">
        <v>4</v>
      </c>
      <c r="I84">
        <v>1350</v>
      </c>
      <c r="J84">
        <v>0</v>
      </c>
      <c r="K84">
        <v>5400</v>
      </c>
      <c r="L84">
        <v>3400</v>
      </c>
      <c r="M84">
        <v>2000</v>
      </c>
      <c r="N84" t="s">
        <v>567</v>
      </c>
      <c r="O84" t="s">
        <v>269</v>
      </c>
      <c r="P84" t="s">
        <v>8</v>
      </c>
      <c r="Q84" t="s">
        <v>585</v>
      </c>
      <c r="R84" s="14">
        <v>0.37037037037037002</v>
      </c>
    </row>
    <row r="85" spans="1:18" hidden="1" x14ac:dyDescent="0.3">
      <c r="A85" t="s">
        <v>659</v>
      </c>
      <c r="B85" s="1">
        <v>46248</v>
      </c>
      <c r="C85" t="s">
        <v>1236</v>
      </c>
      <c r="D85" t="s">
        <v>83</v>
      </c>
      <c r="E85" t="s">
        <v>415</v>
      </c>
      <c r="F85" s="2" t="s">
        <v>416</v>
      </c>
      <c r="G85" t="s">
        <v>347</v>
      </c>
      <c r="H85">
        <v>3</v>
      </c>
      <c r="I85">
        <v>1250</v>
      </c>
      <c r="J85">
        <v>50</v>
      </c>
      <c r="K85">
        <v>3700</v>
      </c>
      <c r="L85">
        <v>2280</v>
      </c>
      <c r="M85">
        <v>1420</v>
      </c>
      <c r="N85" t="s">
        <v>579</v>
      </c>
      <c r="O85" t="s">
        <v>266</v>
      </c>
      <c r="P85" t="s">
        <v>8</v>
      </c>
      <c r="Q85" t="s">
        <v>568</v>
      </c>
      <c r="R85" s="14">
        <v>0.38378378378378403</v>
      </c>
    </row>
    <row r="86" spans="1:18" hidden="1" x14ac:dyDescent="0.3">
      <c r="A86" t="s">
        <v>660</v>
      </c>
      <c r="B86" s="1">
        <v>46188</v>
      </c>
      <c r="C86" t="s">
        <v>1233</v>
      </c>
      <c r="D86" t="s">
        <v>201</v>
      </c>
      <c r="E86" t="s">
        <v>393</v>
      </c>
      <c r="F86" s="2" t="s">
        <v>394</v>
      </c>
      <c r="G86" t="s">
        <v>371</v>
      </c>
      <c r="H86">
        <v>1</v>
      </c>
      <c r="I86">
        <v>1150</v>
      </c>
      <c r="J86">
        <v>50</v>
      </c>
      <c r="K86">
        <v>1100</v>
      </c>
      <c r="L86">
        <v>700</v>
      </c>
      <c r="M86">
        <v>400</v>
      </c>
      <c r="N86" t="s">
        <v>576</v>
      </c>
      <c r="O86" t="s">
        <v>266</v>
      </c>
      <c r="P86" t="s">
        <v>18</v>
      </c>
      <c r="Q86" t="s">
        <v>574</v>
      </c>
      <c r="R86" s="14">
        <v>0.36363636363636398</v>
      </c>
    </row>
    <row r="87" spans="1:18" hidden="1" x14ac:dyDescent="0.3">
      <c r="A87" t="s">
        <v>661</v>
      </c>
      <c r="B87" s="1">
        <v>46206</v>
      </c>
      <c r="C87" t="s">
        <v>1232</v>
      </c>
      <c r="D87" t="s">
        <v>41</v>
      </c>
      <c r="E87" t="s">
        <v>387</v>
      </c>
      <c r="F87" s="2" t="s">
        <v>388</v>
      </c>
      <c r="G87" t="s">
        <v>347</v>
      </c>
      <c r="H87">
        <v>3</v>
      </c>
      <c r="I87">
        <v>850</v>
      </c>
      <c r="J87">
        <v>0</v>
      </c>
      <c r="K87">
        <v>2550</v>
      </c>
      <c r="L87">
        <v>1560</v>
      </c>
      <c r="M87">
        <v>990</v>
      </c>
      <c r="N87" t="s">
        <v>579</v>
      </c>
      <c r="O87" t="s">
        <v>269</v>
      </c>
      <c r="P87" t="s">
        <v>13</v>
      </c>
      <c r="Q87" t="s">
        <v>571</v>
      </c>
      <c r="R87" s="14">
        <v>0.38823529411764701</v>
      </c>
    </row>
    <row r="88" spans="1:18" hidden="1" x14ac:dyDescent="0.3">
      <c r="A88" t="s">
        <v>662</v>
      </c>
      <c r="B88" s="1">
        <v>46065</v>
      </c>
      <c r="C88" t="s">
        <v>1235</v>
      </c>
      <c r="D88" t="s">
        <v>231</v>
      </c>
      <c r="E88" t="s">
        <v>341</v>
      </c>
      <c r="F88" s="2" t="s">
        <v>342</v>
      </c>
      <c r="G88" t="s">
        <v>343</v>
      </c>
      <c r="H88">
        <v>1</v>
      </c>
      <c r="I88">
        <v>750</v>
      </c>
      <c r="J88">
        <v>0</v>
      </c>
      <c r="K88">
        <v>750</v>
      </c>
      <c r="L88">
        <v>430</v>
      </c>
      <c r="M88">
        <v>320</v>
      </c>
      <c r="N88" t="s">
        <v>570</v>
      </c>
      <c r="O88" t="s">
        <v>269</v>
      </c>
      <c r="P88" t="s">
        <v>18</v>
      </c>
      <c r="Q88" t="s">
        <v>568</v>
      </c>
      <c r="R88" s="14">
        <v>0.42666666666666703</v>
      </c>
    </row>
    <row r="89" spans="1:18" x14ac:dyDescent="0.3">
      <c r="A89" t="s">
        <v>663</v>
      </c>
      <c r="B89" s="1">
        <v>46166</v>
      </c>
      <c r="C89" t="s">
        <v>1237</v>
      </c>
      <c r="D89" t="s">
        <v>23</v>
      </c>
      <c r="E89" t="s">
        <v>360</v>
      </c>
      <c r="F89" s="2" t="s">
        <v>361</v>
      </c>
      <c r="G89" t="s">
        <v>362</v>
      </c>
      <c r="H89">
        <v>2</v>
      </c>
      <c r="I89">
        <v>1100</v>
      </c>
      <c r="J89">
        <v>20</v>
      </c>
      <c r="K89">
        <v>2180</v>
      </c>
      <c r="L89">
        <v>1360</v>
      </c>
      <c r="M89">
        <v>820</v>
      </c>
      <c r="N89" t="s">
        <v>576</v>
      </c>
      <c r="O89" t="s">
        <v>266</v>
      </c>
      <c r="P89" t="s">
        <v>13</v>
      </c>
      <c r="Q89" t="s">
        <v>585</v>
      </c>
      <c r="R89" s="14">
        <v>0.37614678899082599</v>
      </c>
    </row>
    <row r="90" spans="1:18" hidden="1" x14ac:dyDescent="0.3">
      <c r="A90" t="s">
        <v>664</v>
      </c>
      <c r="B90" s="1">
        <v>46083</v>
      </c>
      <c r="C90" t="s">
        <v>1230</v>
      </c>
      <c r="D90" t="s">
        <v>109</v>
      </c>
      <c r="E90" t="s">
        <v>415</v>
      </c>
      <c r="F90" s="2" t="s">
        <v>416</v>
      </c>
      <c r="G90" t="s">
        <v>347</v>
      </c>
      <c r="H90">
        <v>1</v>
      </c>
      <c r="I90">
        <v>1250</v>
      </c>
      <c r="J90">
        <v>100</v>
      </c>
      <c r="K90">
        <v>1150</v>
      </c>
      <c r="L90">
        <v>760</v>
      </c>
      <c r="M90">
        <v>390</v>
      </c>
      <c r="N90" t="s">
        <v>570</v>
      </c>
      <c r="O90" t="s">
        <v>269</v>
      </c>
      <c r="P90" t="s">
        <v>13</v>
      </c>
      <c r="Q90" t="s">
        <v>568</v>
      </c>
      <c r="R90" s="14">
        <v>0.33913043478260901</v>
      </c>
    </row>
    <row r="91" spans="1:18" hidden="1" x14ac:dyDescent="0.3">
      <c r="A91" t="s">
        <v>665</v>
      </c>
      <c r="B91" s="1">
        <v>46023</v>
      </c>
      <c r="C91" t="s">
        <v>1234</v>
      </c>
      <c r="D91" t="s">
        <v>16</v>
      </c>
      <c r="E91" t="s">
        <v>369</v>
      </c>
      <c r="F91" s="2" t="s">
        <v>370</v>
      </c>
      <c r="G91" t="s">
        <v>371</v>
      </c>
      <c r="H91">
        <v>1</v>
      </c>
      <c r="I91">
        <v>1450</v>
      </c>
      <c r="J91">
        <v>0</v>
      </c>
      <c r="K91">
        <v>1450</v>
      </c>
      <c r="L91">
        <v>900</v>
      </c>
      <c r="M91">
        <v>550</v>
      </c>
      <c r="N91" t="s">
        <v>573</v>
      </c>
      <c r="O91" t="s">
        <v>266</v>
      </c>
      <c r="P91" t="s">
        <v>8</v>
      </c>
      <c r="Q91" t="s">
        <v>585</v>
      </c>
      <c r="R91" s="14">
        <v>0.37931034482758602</v>
      </c>
    </row>
    <row r="92" spans="1:18" hidden="1" x14ac:dyDescent="0.3">
      <c r="A92" t="s">
        <v>666</v>
      </c>
      <c r="B92" s="1">
        <v>46095</v>
      </c>
      <c r="C92" t="s">
        <v>1230</v>
      </c>
      <c r="D92" t="s">
        <v>59</v>
      </c>
      <c r="E92" t="s">
        <v>387</v>
      </c>
      <c r="F92" s="2" t="s">
        <v>388</v>
      </c>
      <c r="G92" t="s">
        <v>347</v>
      </c>
      <c r="H92">
        <v>1</v>
      </c>
      <c r="I92">
        <v>850</v>
      </c>
      <c r="J92">
        <v>50</v>
      </c>
      <c r="K92">
        <v>800</v>
      </c>
      <c r="L92">
        <v>520</v>
      </c>
      <c r="M92">
        <v>280</v>
      </c>
      <c r="N92" t="s">
        <v>573</v>
      </c>
      <c r="O92" t="s">
        <v>269</v>
      </c>
      <c r="P92" t="s">
        <v>13</v>
      </c>
      <c r="Q92" t="s">
        <v>574</v>
      </c>
      <c r="R92" s="14">
        <v>0.35</v>
      </c>
    </row>
    <row r="93" spans="1:18" hidden="1" x14ac:dyDescent="0.3">
      <c r="A93" t="s">
        <v>667</v>
      </c>
      <c r="B93" s="1">
        <v>46083</v>
      </c>
      <c r="C93" t="s">
        <v>1230</v>
      </c>
      <c r="D93" t="s">
        <v>169</v>
      </c>
      <c r="E93" t="s">
        <v>400</v>
      </c>
      <c r="F93" s="2" t="s">
        <v>401</v>
      </c>
      <c r="G93" t="s">
        <v>384</v>
      </c>
      <c r="H93">
        <v>3</v>
      </c>
      <c r="I93">
        <v>950</v>
      </c>
      <c r="J93">
        <v>100</v>
      </c>
      <c r="K93">
        <v>2750</v>
      </c>
      <c r="L93">
        <v>1710</v>
      </c>
      <c r="M93">
        <v>1040</v>
      </c>
      <c r="N93" t="s">
        <v>579</v>
      </c>
      <c r="O93" t="s">
        <v>266</v>
      </c>
      <c r="P93" t="s">
        <v>13</v>
      </c>
      <c r="Q93" t="s">
        <v>568</v>
      </c>
      <c r="R93" s="14">
        <v>0.37818181818181801</v>
      </c>
    </row>
    <row r="94" spans="1:18" hidden="1" x14ac:dyDescent="0.3">
      <c r="A94" t="s">
        <v>668</v>
      </c>
      <c r="B94" s="1">
        <v>46149</v>
      </c>
      <c r="C94" t="s">
        <v>1237</v>
      </c>
      <c r="D94" t="s">
        <v>119</v>
      </c>
      <c r="E94" t="s">
        <v>415</v>
      </c>
      <c r="F94" s="2" t="s">
        <v>416</v>
      </c>
      <c r="G94" t="s">
        <v>347</v>
      </c>
      <c r="H94">
        <v>1</v>
      </c>
      <c r="I94">
        <v>1250</v>
      </c>
      <c r="J94">
        <v>0</v>
      </c>
      <c r="K94">
        <v>1250</v>
      </c>
      <c r="L94">
        <v>760</v>
      </c>
      <c r="M94">
        <v>490</v>
      </c>
      <c r="N94" t="s">
        <v>579</v>
      </c>
      <c r="O94" t="s">
        <v>266</v>
      </c>
      <c r="P94" t="s">
        <v>18</v>
      </c>
      <c r="Q94" t="s">
        <v>574</v>
      </c>
      <c r="R94" s="14">
        <v>0.39200000000000002</v>
      </c>
    </row>
    <row r="95" spans="1:18" hidden="1" x14ac:dyDescent="0.3">
      <c r="A95" t="s">
        <v>669</v>
      </c>
      <c r="B95" s="1">
        <v>46078</v>
      </c>
      <c r="C95" t="s">
        <v>1235</v>
      </c>
      <c r="D95" t="s">
        <v>237</v>
      </c>
      <c r="E95" t="s">
        <v>345</v>
      </c>
      <c r="F95" s="2" t="s">
        <v>346</v>
      </c>
      <c r="G95" t="s">
        <v>347</v>
      </c>
      <c r="H95">
        <v>2</v>
      </c>
      <c r="I95">
        <v>700</v>
      </c>
      <c r="J95">
        <v>0</v>
      </c>
      <c r="K95">
        <v>1400</v>
      </c>
      <c r="L95">
        <v>820</v>
      </c>
      <c r="M95">
        <v>580</v>
      </c>
      <c r="N95" t="s">
        <v>570</v>
      </c>
      <c r="O95" t="s">
        <v>269</v>
      </c>
      <c r="P95" t="s">
        <v>18</v>
      </c>
      <c r="Q95" t="s">
        <v>574</v>
      </c>
      <c r="R95" s="14">
        <v>0.41428571428571398</v>
      </c>
    </row>
    <row r="96" spans="1:18" hidden="1" x14ac:dyDescent="0.3">
      <c r="A96" t="s">
        <v>670</v>
      </c>
      <c r="B96" s="1">
        <v>46060</v>
      </c>
      <c r="C96" t="s">
        <v>1235</v>
      </c>
      <c r="D96" t="s">
        <v>205</v>
      </c>
      <c r="E96" t="s">
        <v>374</v>
      </c>
      <c r="F96" s="2" t="s">
        <v>375</v>
      </c>
      <c r="G96" t="s">
        <v>376</v>
      </c>
      <c r="H96">
        <v>1</v>
      </c>
      <c r="I96">
        <v>800</v>
      </c>
      <c r="J96">
        <v>75</v>
      </c>
      <c r="K96">
        <v>725</v>
      </c>
      <c r="L96">
        <v>470</v>
      </c>
      <c r="M96">
        <v>255</v>
      </c>
      <c r="N96" t="s">
        <v>570</v>
      </c>
      <c r="O96" t="s">
        <v>269</v>
      </c>
      <c r="P96" t="s">
        <v>13</v>
      </c>
      <c r="Q96" t="s">
        <v>585</v>
      </c>
      <c r="R96" s="14">
        <v>0.35172413793103402</v>
      </c>
    </row>
    <row r="97" spans="1:18" hidden="1" x14ac:dyDescent="0.3">
      <c r="A97" t="s">
        <v>671</v>
      </c>
      <c r="B97" s="1">
        <v>46253</v>
      </c>
      <c r="C97" t="s">
        <v>1236</v>
      </c>
      <c r="D97" t="s">
        <v>179</v>
      </c>
      <c r="E97" t="s">
        <v>350</v>
      </c>
      <c r="F97" s="2" t="s">
        <v>351</v>
      </c>
      <c r="G97" t="s">
        <v>352</v>
      </c>
      <c r="H97">
        <v>1</v>
      </c>
      <c r="I97">
        <v>900</v>
      </c>
      <c r="J97">
        <v>0</v>
      </c>
      <c r="K97">
        <v>900</v>
      </c>
      <c r="L97">
        <v>540</v>
      </c>
      <c r="M97">
        <v>360</v>
      </c>
      <c r="N97" t="s">
        <v>579</v>
      </c>
      <c r="O97" t="s">
        <v>266</v>
      </c>
      <c r="P97" t="s">
        <v>13</v>
      </c>
      <c r="Q97" t="s">
        <v>585</v>
      </c>
      <c r="R97" s="14">
        <v>0.4</v>
      </c>
    </row>
    <row r="98" spans="1:18" hidden="1" x14ac:dyDescent="0.3">
      <c r="A98" t="s">
        <v>672</v>
      </c>
      <c r="B98" s="1">
        <v>46255</v>
      </c>
      <c r="C98" t="s">
        <v>1236</v>
      </c>
      <c r="D98" t="s">
        <v>225</v>
      </c>
      <c r="E98" t="s">
        <v>355</v>
      </c>
      <c r="F98" s="2" t="s">
        <v>356</v>
      </c>
      <c r="G98" t="s">
        <v>343</v>
      </c>
      <c r="H98">
        <v>1</v>
      </c>
      <c r="I98">
        <v>550</v>
      </c>
      <c r="J98">
        <v>20</v>
      </c>
      <c r="K98">
        <v>530</v>
      </c>
      <c r="L98">
        <v>300</v>
      </c>
      <c r="M98">
        <v>230</v>
      </c>
      <c r="N98" t="s">
        <v>579</v>
      </c>
      <c r="O98" t="s">
        <v>269</v>
      </c>
      <c r="P98" t="s">
        <v>18</v>
      </c>
      <c r="Q98" t="s">
        <v>585</v>
      </c>
      <c r="R98" s="14">
        <v>0.43396226415094302</v>
      </c>
    </row>
    <row r="99" spans="1:18" hidden="1" x14ac:dyDescent="0.3">
      <c r="A99" t="s">
        <v>673</v>
      </c>
      <c r="B99" s="1">
        <v>46105</v>
      </c>
      <c r="C99" t="s">
        <v>1230</v>
      </c>
      <c r="D99" t="s">
        <v>91</v>
      </c>
      <c r="E99" t="s">
        <v>374</v>
      </c>
      <c r="F99" s="2" t="s">
        <v>375</v>
      </c>
      <c r="G99" t="s">
        <v>376</v>
      </c>
      <c r="H99">
        <v>2</v>
      </c>
      <c r="I99">
        <v>800</v>
      </c>
      <c r="J99">
        <v>20</v>
      </c>
      <c r="K99">
        <v>1580</v>
      </c>
      <c r="L99">
        <v>940</v>
      </c>
      <c r="M99">
        <v>640</v>
      </c>
      <c r="N99" t="s">
        <v>573</v>
      </c>
      <c r="O99" t="s">
        <v>269</v>
      </c>
      <c r="P99" t="s">
        <v>8</v>
      </c>
      <c r="Q99" t="s">
        <v>585</v>
      </c>
      <c r="R99" s="14">
        <v>0.40506329113924</v>
      </c>
    </row>
    <row r="100" spans="1:18" hidden="1" x14ac:dyDescent="0.3">
      <c r="A100" t="s">
        <v>674</v>
      </c>
      <c r="B100" s="1">
        <v>46220</v>
      </c>
      <c r="C100" t="s">
        <v>1232</v>
      </c>
      <c r="D100" t="s">
        <v>209</v>
      </c>
      <c r="E100" t="s">
        <v>345</v>
      </c>
      <c r="F100" s="2" t="s">
        <v>346</v>
      </c>
      <c r="G100" t="s">
        <v>347</v>
      </c>
      <c r="H100">
        <v>1</v>
      </c>
      <c r="I100">
        <v>700</v>
      </c>
      <c r="J100">
        <v>20</v>
      </c>
      <c r="K100">
        <v>680</v>
      </c>
      <c r="L100">
        <v>410</v>
      </c>
      <c r="M100">
        <v>270</v>
      </c>
      <c r="N100" t="s">
        <v>573</v>
      </c>
      <c r="O100" t="s">
        <v>269</v>
      </c>
      <c r="P100" t="s">
        <v>13</v>
      </c>
      <c r="Q100" t="s">
        <v>568</v>
      </c>
      <c r="R100" s="14">
        <v>0.39705882352941202</v>
      </c>
    </row>
    <row r="101" spans="1:18" x14ac:dyDescent="0.3">
      <c r="A101" t="s">
        <v>675</v>
      </c>
      <c r="B101" s="1">
        <v>46116</v>
      </c>
      <c r="C101" t="s">
        <v>1231</v>
      </c>
      <c r="D101" t="s">
        <v>157</v>
      </c>
      <c r="E101" t="s">
        <v>419</v>
      </c>
      <c r="F101" s="2" t="s">
        <v>420</v>
      </c>
      <c r="G101" t="s">
        <v>362</v>
      </c>
      <c r="H101">
        <v>1</v>
      </c>
      <c r="I101">
        <v>1350</v>
      </c>
      <c r="J101">
        <v>20</v>
      </c>
      <c r="K101">
        <v>1330</v>
      </c>
      <c r="L101">
        <v>850</v>
      </c>
      <c r="M101">
        <v>480</v>
      </c>
      <c r="N101" t="s">
        <v>573</v>
      </c>
      <c r="O101" t="s">
        <v>269</v>
      </c>
      <c r="P101" t="s">
        <v>18</v>
      </c>
      <c r="Q101" t="s">
        <v>574</v>
      </c>
      <c r="R101" s="14">
        <v>0.360902255639098</v>
      </c>
    </row>
    <row r="102" spans="1:18" hidden="1" x14ac:dyDescent="0.3">
      <c r="A102" t="s">
        <v>676</v>
      </c>
      <c r="B102" s="1">
        <v>46028</v>
      </c>
      <c r="C102" t="s">
        <v>1234</v>
      </c>
      <c r="D102" t="s">
        <v>139</v>
      </c>
      <c r="E102" t="s">
        <v>400</v>
      </c>
      <c r="F102" s="2" t="s">
        <v>401</v>
      </c>
      <c r="G102" t="s">
        <v>384</v>
      </c>
      <c r="H102">
        <v>2</v>
      </c>
      <c r="I102">
        <v>950</v>
      </c>
      <c r="J102">
        <v>100</v>
      </c>
      <c r="K102">
        <v>1800</v>
      </c>
      <c r="L102">
        <v>1140</v>
      </c>
      <c r="M102">
        <v>660</v>
      </c>
      <c r="N102" t="s">
        <v>576</v>
      </c>
      <c r="O102" t="s">
        <v>266</v>
      </c>
      <c r="P102" t="s">
        <v>18</v>
      </c>
      <c r="Q102" t="s">
        <v>585</v>
      </c>
      <c r="R102" s="14">
        <v>0.36666666666666697</v>
      </c>
    </row>
    <row r="103" spans="1:18" x14ac:dyDescent="0.3">
      <c r="A103" t="s">
        <v>677</v>
      </c>
      <c r="B103" s="1">
        <v>46252</v>
      </c>
      <c r="C103" t="s">
        <v>1236</v>
      </c>
      <c r="D103" t="s">
        <v>109</v>
      </c>
      <c r="E103" t="s">
        <v>419</v>
      </c>
      <c r="F103" s="2" t="s">
        <v>420</v>
      </c>
      <c r="G103" t="s">
        <v>362</v>
      </c>
      <c r="H103">
        <v>4</v>
      </c>
      <c r="I103">
        <v>1350</v>
      </c>
      <c r="J103">
        <v>20</v>
      </c>
      <c r="K103">
        <v>5380</v>
      </c>
      <c r="L103">
        <v>3400</v>
      </c>
      <c r="M103">
        <v>1980</v>
      </c>
      <c r="N103" t="s">
        <v>573</v>
      </c>
      <c r="O103" t="s">
        <v>266</v>
      </c>
      <c r="P103" t="s">
        <v>18</v>
      </c>
      <c r="Q103" t="s">
        <v>574</v>
      </c>
      <c r="R103" s="14">
        <v>0.36802973977695203</v>
      </c>
    </row>
    <row r="104" spans="1:18" hidden="1" x14ac:dyDescent="0.3">
      <c r="A104" t="s">
        <v>678</v>
      </c>
      <c r="B104" s="1">
        <v>46092</v>
      </c>
      <c r="C104" t="s">
        <v>1230</v>
      </c>
      <c r="D104" t="s">
        <v>59</v>
      </c>
      <c r="E104" t="s">
        <v>369</v>
      </c>
      <c r="F104" s="2" t="s">
        <v>370</v>
      </c>
      <c r="G104" t="s">
        <v>371</v>
      </c>
      <c r="H104">
        <v>1</v>
      </c>
      <c r="I104">
        <v>1450</v>
      </c>
      <c r="J104">
        <v>50</v>
      </c>
      <c r="K104">
        <v>1400</v>
      </c>
      <c r="L104">
        <v>900</v>
      </c>
      <c r="M104">
        <v>500</v>
      </c>
      <c r="N104" t="s">
        <v>576</v>
      </c>
      <c r="O104" t="s">
        <v>269</v>
      </c>
      <c r="P104" t="s">
        <v>13</v>
      </c>
      <c r="Q104" t="s">
        <v>585</v>
      </c>
      <c r="R104" s="14">
        <v>0.35714285714285698</v>
      </c>
    </row>
    <row r="105" spans="1:18" hidden="1" x14ac:dyDescent="0.3">
      <c r="A105" t="s">
        <v>679</v>
      </c>
      <c r="B105" s="1">
        <v>46086</v>
      </c>
      <c r="C105" t="s">
        <v>1230</v>
      </c>
      <c r="D105" t="s">
        <v>83</v>
      </c>
      <c r="E105" t="s">
        <v>350</v>
      </c>
      <c r="F105" s="2" t="s">
        <v>351</v>
      </c>
      <c r="G105" t="s">
        <v>352</v>
      </c>
      <c r="H105">
        <v>1</v>
      </c>
      <c r="I105">
        <v>900</v>
      </c>
      <c r="J105">
        <v>50</v>
      </c>
      <c r="K105">
        <v>850</v>
      </c>
      <c r="L105">
        <v>540</v>
      </c>
      <c r="M105">
        <v>310</v>
      </c>
      <c r="N105" t="s">
        <v>567</v>
      </c>
      <c r="O105" t="s">
        <v>266</v>
      </c>
      <c r="P105" t="s">
        <v>18</v>
      </c>
      <c r="Q105" t="s">
        <v>585</v>
      </c>
      <c r="R105" s="14">
        <v>0.36470588235294099</v>
      </c>
    </row>
    <row r="106" spans="1:18" hidden="1" x14ac:dyDescent="0.3">
      <c r="A106" t="s">
        <v>680</v>
      </c>
      <c r="B106" s="1">
        <v>46200</v>
      </c>
      <c r="C106" t="s">
        <v>1233</v>
      </c>
      <c r="D106" t="s">
        <v>247</v>
      </c>
      <c r="E106" t="s">
        <v>366</v>
      </c>
      <c r="F106" s="2" t="s">
        <v>367</v>
      </c>
      <c r="G106" t="s">
        <v>352</v>
      </c>
      <c r="H106">
        <v>1</v>
      </c>
      <c r="I106">
        <v>1500</v>
      </c>
      <c r="J106">
        <v>0</v>
      </c>
      <c r="K106">
        <v>1500</v>
      </c>
      <c r="L106">
        <v>920</v>
      </c>
      <c r="M106">
        <v>580</v>
      </c>
      <c r="N106" t="s">
        <v>579</v>
      </c>
      <c r="O106" t="s">
        <v>269</v>
      </c>
      <c r="P106" t="s">
        <v>18</v>
      </c>
      <c r="Q106" t="s">
        <v>681</v>
      </c>
      <c r="R106" s="14">
        <v>0.38666666666666699</v>
      </c>
    </row>
    <row r="107" spans="1:18" hidden="1" x14ac:dyDescent="0.3">
      <c r="A107" t="s">
        <v>682</v>
      </c>
      <c r="B107" s="1">
        <v>46087</v>
      </c>
      <c r="C107" t="s">
        <v>1230</v>
      </c>
      <c r="D107" t="s">
        <v>133</v>
      </c>
      <c r="E107" t="s">
        <v>345</v>
      </c>
      <c r="F107" s="2" t="s">
        <v>346</v>
      </c>
      <c r="G107" t="s">
        <v>347</v>
      </c>
      <c r="H107">
        <v>1</v>
      </c>
      <c r="I107">
        <v>700</v>
      </c>
      <c r="J107">
        <v>75</v>
      </c>
      <c r="K107">
        <v>625</v>
      </c>
      <c r="L107">
        <v>410</v>
      </c>
      <c r="M107">
        <v>215</v>
      </c>
      <c r="N107" t="s">
        <v>567</v>
      </c>
      <c r="O107" t="s">
        <v>269</v>
      </c>
      <c r="P107" t="s">
        <v>13</v>
      </c>
      <c r="Q107" t="s">
        <v>568</v>
      </c>
      <c r="R107" s="14">
        <v>0.34399999999999997</v>
      </c>
    </row>
    <row r="108" spans="1:18" hidden="1" x14ac:dyDescent="0.3">
      <c r="A108" t="s">
        <v>683</v>
      </c>
      <c r="B108" s="1">
        <v>46116</v>
      </c>
      <c r="C108" t="s">
        <v>1231</v>
      </c>
      <c r="D108" t="s">
        <v>197</v>
      </c>
      <c r="E108" t="s">
        <v>374</v>
      </c>
      <c r="F108" s="2" t="s">
        <v>375</v>
      </c>
      <c r="G108" t="s">
        <v>376</v>
      </c>
      <c r="H108">
        <v>1</v>
      </c>
      <c r="I108">
        <v>800</v>
      </c>
      <c r="J108">
        <v>20</v>
      </c>
      <c r="K108">
        <v>780</v>
      </c>
      <c r="L108">
        <v>470</v>
      </c>
      <c r="M108">
        <v>310</v>
      </c>
      <c r="N108" t="s">
        <v>573</v>
      </c>
      <c r="O108" t="s">
        <v>269</v>
      </c>
      <c r="P108" t="s">
        <v>8</v>
      </c>
      <c r="Q108" t="s">
        <v>585</v>
      </c>
      <c r="R108" s="14">
        <v>0.39743589743589702</v>
      </c>
    </row>
    <row r="109" spans="1:18" hidden="1" x14ac:dyDescent="0.3">
      <c r="A109" t="s">
        <v>684</v>
      </c>
      <c r="B109" s="1">
        <v>46159</v>
      </c>
      <c r="C109" t="s">
        <v>1237</v>
      </c>
      <c r="D109" t="s">
        <v>75</v>
      </c>
      <c r="E109" t="s">
        <v>345</v>
      </c>
      <c r="F109" s="2" t="s">
        <v>346</v>
      </c>
      <c r="G109" t="s">
        <v>347</v>
      </c>
      <c r="H109">
        <v>1</v>
      </c>
      <c r="I109">
        <v>700</v>
      </c>
      <c r="J109">
        <v>50</v>
      </c>
      <c r="K109">
        <v>650</v>
      </c>
      <c r="L109">
        <v>410</v>
      </c>
      <c r="M109">
        <v>240</v>
      </c>
      <c r="N109" t="s">
        <v>576</v>
      </c>
      <c r="O109" t="s">
        <v>269</v>
      </c>
      <c r="P109" t="s">
        <v>18</v>
      </c>
      <c r="Q109" t="s">
        <v>585</v>
      </c>
      <c r="R109" s="14">
        <v>0.36923076923076897</v>
      </c>
    </row>
    <row r="110" spans="1:18" x14ac:dyDescent="0.3">
      <c r="A110" t="s">
        <v>685</v>
      </c>
      <c r="B110" s="1">
        <v>46033</v>
      </c>
      <c r="C110" t="s">
        <v>1234</v>
      </c>
      <c r="D110" t="s">
        <v>217</v>
      </c>
      <c r="E110" t="s">
        <v>419</v>
      </c>
      <c r="F110" s="2" t="s">
        <v>420</v>
      </c>
      <c r="G110" t="s">
        <v>362</v>
      </c>
      <c r="H110">
        <v>1</v>
      </c>
      <c r="I110">
        <v>1350</v>
      </c>
      <c r="J110">
        <v>50</v>
      </c>
      <c r="K110">
        <v>1300</v>
      </c>
      <c r="L110">
        <v>850</v>
      </c>
      <c r="M110">
        <v>450</v>
      </c>
      <c r="N110" t="s">
        <v>567</v>
      </c>
      <c r="O110" t="s">
        <v>266</v>
      </c>
      <c r="P110" t="s">
        <v>8</v>
      </c>
      <c r="Q110" t="s">
        <v>585</v>
      </c>
      <c r="R110" s="14">
        <v>0.34615384615384598</v>
      </c>
    </row>
    <row r="111" spans="1:18" hidden="1" x14ac:dyDescent="0.3">
      <c r="A111" t="s">
        <v>686</v>
      </c>
      <c r="B111" s="1">
        <v>46176</v>
      </c>
      <c r="C111" t="s">
        <v>1233</v>
      </c>
      <c r="D111" t="s">
        <v>131</v>
      </c>
      <c r="E111" t="s">
        <v>341</v>
      </c>
      <c r="F111" s="2" t="s">
        <v>342</v>
      </c>
      <c r="G111" t="s">
        <v>343</v>
      </c>
      <c r="H111">
        <v>2</v>
      </c>
      <c r="I111">
        <v>750</v>
      </c>
      <c r="J111">
        <v>50</v>
      </c>
      <c r="K111">
        <v>1450</v>
      </c>
      <c r="L111">
        <v>860</v>
      </c>
      <c r="M111">
        <v>590</v>
      </c>
      <c r="N111" t="s">
        <v>576</v>
      </c>
      <c r="O111" t="s">
        <v>269</v>
      </c>
      <c r="P111" t="s">
        <v>13</v>
      </c>
      <c r="Q111" t="s">
        <v>574</v>
      </c>
      <c r="R111" s="14">
        <v>0.40689655172413802</v>
      </c>
    </row>
    <row r="112" spans="1:18" hidden="1" x14ac:dyDescent="0.3">
      <c r="A112" t="s">
        <v>687</v>
      </c>
      <c r="B112" s="1">
        <v>46036</v>
      </c>
      <c r="C112" t="s">
        <v>1234</v>
      </c>
      <c r="D112" t="s">
        <v>71</v>
      </c>
      <c r="E112" t="s">
        <v>345</v>
      </c>
      <c r="F112" s="2" t="s">
        <v>346</v>
      </c>
      <c r="G112" t="s">
        <v>347</v>
      </c>
      <c r="H112">
        <v>2</v>
      </c>
      <c r="I112">
        <v>700</v>
      </c>
      <c r="J112">
        <v>20</v>
      </c>
      <c r="K112">
        <v>1380</v>
      </c>
      <c r="L112">
        <v>820</v>
      </c>
      <c r="M112">
        <v>560</v>
      </c>
      <c r="N112" t="s">
        <v>570</v>
      </c>
      <c r="O112" t="s">
        <v>269</v>
      </c>
      <c r="P112" t="s">
        <v>8</v>
      </c>
      <c r="Q112" t="s">
        <v>574</v>
      </c>
      <c r="R112" s="14">
        <v>0.405797101449275</v>
      </c>
    </row>
    <row r="113" spans="1:18" hidden="1" x14ac:dyDescent="0.3">
      <c r="A113" t="s">
        <v>688</v>
      </c>
      <c r="B113" s="1">
        <v>46247</v>
      </c>
      <c r="C113" t="s">
        <v>1236</v>
      </c>
      <c r="D113" t="s">
        <v>229</v>
      </c>
      <c r="E113" t="s">
        <v>374</v>
      </c>
      <c r="F113" s="2" t="s">
        <v>375</v>
      </c>
      <c r="G113" t="s">
        <v>376</v>
      </c>
      <c r="H113">
        <v>1</v>
      </c>
      <c r="I113">
        <v>800</v>
      </c>
      <c r="J113">
        <v>0</v>
      </c>
      <c r="K113">
        <v>800</v>
      </c>
      <c r="L113">
        <v>470</v>
      </c>
      <c r="M113">
        <v>330</v>
      </c>
      <c r="N113" t="s">
        <v>579</v>
      </c>
      <c r="O113" t="s">
        <v>266</v>
      </c>
      <c r="P113" t="s">
        <v>13</v>
      </c>
      <c r="Q113" t="s">
        <v>585</v>
      </c>
      <c r="R113" s="14">
        <v>0.41249999999999998</v>
      </c>
    </row>
    <row r="114" spans="1:18" hidden="1" x14ac:dyDescent="0.3">
      <c r="A114" t="s">
        <v>689</v>
      </c>
      <c r="B114" s="1">
        <v>46089</v>
      </c>
      <c r="C114" t="s">
        <v>1230</v>
      </c>
      <c r="D114" t="s">
        <v>21</v>
      </c>
      <c r="E114" t="s">
        <v>415</v>
      </c>
      <c r="F114" s="2" t="s">
        <v>416</v>
      </c>
      <c r="G114" t="s">
        <v>347</v>
      </c>
      <c r="H114">
        <v>1</v>
      </c>
      <c r="I114">
        <v>1250</v>
      </c>
      <c r="J114">
        <v>20</v>
      </c>
      <c r="K114">
        <v>1230</v>
      </c>
      <c r="L114">
        <v>760</v>
      </c>
      <c r="M114">
        <v>470</v>
      </c>
      <c r="N114" t="s">
        <v>570</v>
      </c>
      <c r="O114" t="s">
        <v>266</v>
      </c>
      <c r="P114" t="s">
        <v>8</v>
      </c>
      <c r="Q114" t="s">
        <v>568</v>
      </c>
      <c r="R114" s="14">
        <v>0.38211382113821102</v>
      </c>
    </row>
    <row r="115" spans="1:18" hidden="1" x14ac:dyDescent="0.3">
      <c r="A115" t="s">
        <v>690</v>
      </c>
      <c r="B115" s="1">
        <v>46244</v>
      </c>
      <c r="C115" t="s">
        <v>1236</v>
      </c>
      <c r="D115" t="s">
        <v>213</v>
      </c>
      <c r="E115" t="s">
        <v>374</v>
      </c>
      <c r="F115" s="2" t="s">
        <v>375</v>
      </c>
      <c r="G115" t="s">
        <v>376</v>
      </c>
      <c r="H115">
        <v>3</v>
      </c>
      <c r="I115">
        <v>800</v>
      </c>
      <c r="J115">
        <v>20</v>
      </c>
      <c r="K115">
        <v>2380</v>
      </c>
      <c r="L115">
        <v>1410</v>
      </c>
      <c r="M115">
        <v>970</v>
      </c>
      <c r="N115" t="s">
        <v>570</v>
      </c>
      <c r="O115" t="s">
        <v>266</v>
      </c>
      <c r="P115" t="s">
        <v>13</v>
      </c>
      <c r="Q115" t="s">
        <v>568</v>
      </c>
      <c r="R115" s="14">
        <v>0.40756302521008397</v>
      </c>
    </row>
    <row r="116" spans="1:18" hidden="1" x14ac:dyDescent="0.3">
      <c r="A116" t="s">
        <v>691</v>
      </c>
      <c r="B116" s="1">
        <v>46055</v>
      </c>
      <c r="C116" t="s">
        <v>1235</v>
      </c>
      <c r="D116" t="s">
        <v>143</v>
      </c>
      <c r="E116" t="s">
        <v>387</v>
      </c>
      <c r="F116" s="2" t="s">
        <v>388</v>
      </c>
      <c r="G116" t="s">
        <v>347</v>
      </c>
      <c r="H116">
        <v>2</v>
      </c>
      <c r="I116">
        <v>850</v>
      </c>
      <c r="J116">
        <v>50</v>
      </c>
      <c r="K116">
        <v>1650</v>
      </c>
      <c r="L116">
        <v>1040</v>
      </c>
      <c r="M116">
        <v>610</v>
      </c>
      <c r="N116" t="s">
        <v>579</v>
      </c>
      <c r="O116" t="s">
        <v>266</v>
      </c>
      <c r="P116" t="s">
        <v>13</v>
      </c>
      <c r="Q116" t="s">
        <v>585</v>
      </c>
      <c r="R116" s="14">
        <v>0.36969696969697002</v>
      </c>
    </row>
    <row r="117" spans="1:18" hidden="1" x14ac:dyDescent="0.3">
      <c r="A117" t="s">
        <v>692</v>
      </c>
      <c r="B117" s="1">
        <v>46069</v>
      </c>
      <c r="C117" t="s">
        <v>1235</v>
      </c>
      <c r="D117" t="s">
        <v>207</v>
      </c>
      <c r="E117" t="s">
        <v>387</v>
      </c>
      <c r="F117" s="2" t="s">
        <v>388</v>
      </c>
      <c r="G117" t="s">
        <v>347</v>
      </c>
      <c r="H117">
        <v>1</v>
      </c>
      <c r="I117">
        <v>850</v>
      </c>
      <c r="J117">
        <v>20</v>
      </c>
      <c r="K117">
        <v>830</v>
      </c>
      <c r="L117">
        <v>520</v>
      </c>
      <c r="M117">
        <v>310</v>
      </c>
      <c r="N117" t="s">
        <v>567</v>
      </c>
      <c r="O117" t="s">
        <v>266</v>
      </c>
      <c r="P117" t="s">
        <v>18</v>
      </c>
      <c r="Q117" t="s">
        <v>585</v>
      </c>
      <c r="R117" s="14">
        <v>0.373493975903614</v>
      </c>
    </row>
    <row r="118" spans="1:18" hidden="1" x14ac:dyDescent="0.3">
      <c r="A118" t="s">
        <v>693</v>
      </c>
      <c r="B118" s="1">
        <v>46195</v>
      </c>
      <c r="C118" t="s">
        <v>1233</v>
      </c>
      <c r="D118" t="s">
        <v>9</v>
      </c>
      <c r="E118" t="s">
        <v>341</v>
      </c>
      <c r="F118" s="2" t="s">
        <v>342</v>
      </c>
      <c r="G118" t="s">
        <v>343</v>
      </c>
      <c r="H118">
        <v>1</v>
      </c>
      <c r="I118">
        <v>750</v>
      </c>
      <c r="J118">
        <v>20</v>
      </c>
      <c r="K118">
        <v>730</v>
      </c>
      <c r="L118">
        <v>430</v>
      </c>
      <c r="M118">
        <v>300</v>
      </c>
      <c r="N118" t="s">
        <v>570</v>
      </c>
      <c r="O118" t="s">
        <v>269</v>
      </c>
      <c r="P118" t="s">
        <v>18</v>
      </c>
      <c r="Q118" t="s">
        <v>574</v>
      </c>
      <c r="R118" s="14">
        <v>0.41095890410958902</v>
      </c>
    </row>
    <row r="119" spans="1:18" hidden="1" x14ac:dyDescent="0.3">
      <c r="A119" t="s">
        <v>694</v>
      </c>
      <c r="B119" s="1">
        <v>46170</v>
      </c>
      <c r="C119" t="s">
        <v>1237</v>
      </c>
      <c r="D119" t="s">
        <v>29</v>
      </c>
      <c r="E119" t="s">
        <v>355</v>
      </c>
      <c r="F119" s="2" t="s">
        <v>356</v>
      </c>
      <c r="G119" t="s">
        <v>343</v>
      </c>
      <c r="H119">
        <v>2</v>
      </c>
      <c r="I119">
        <v>550</v>
      </c>
      <c r="J119">
        <v>20</v>
      </c>
      <c r="K119">
        <v>1080</v>
      </c>
      <c r="L119">
        <v>600</v>
      </c>
      <c r="M119">
        <v>480</v>
      </c>
      <c r="N119" t="s">
        <v>579</v>
      </c>
      <c r="O119" t="s">
        <v>266</v>
      </c>
      <c r="P119" t="s">
        <v>8</v>
      </c>
      <c r="Q119" t="s">
        <v>568</v>
      </c>
      <c r="R119" s="14">
        <v>0.44444444444444398</v>
      </c>
    </row>
    <row r="120" spans="1:18" x14ac:dyDescent="0.3">
      <c r="A120" t="s">
        <v>695</v>
      </c>
      <c r="B120" s="1">
        <v>46162</v>
      </c>
      <c r="C120" t="s">
        <v>1237</v>
      </c>
      <c r="D120" t="s">
        <v>187</v>
      </c>
      <c r="E120" t="s">
        <v>360</v>
      </c>
      <c r="F120" s="2" t="s">
        <v>361</v>
      </c>
      <c r="G120" t="s">
        <v>362</v>
      </c>
      <c r="H120">
        <v>1</v>
      </c>
      <c r="I120">
        <v>1100</v>
      </c>
      <c r="J120">
        <v>100</v>
      </c>
      <c r="K120">
        <v>1000</v>
      </c>
      <c r="L120">
        <v>680</v>
      </c>
      <c r="M120">
        <v>320</v>
      </c>
      <c r="N120" t="s">
        <v>567</v>
      </c>
      <c r="O120" t="s">
        <v>266</v>
      </c>
      <c r="P120" t="s">
        <v>8</v>
      </c>
      <c r="Q120" t="s">
        <v>568</v>
      </c>
      <c r="R120" s="14">
        <v>0.32</v>
      </c>
    </row>
    <row r="121" spans="1:18" hidden="1" x14ac:dyDescent="0.3">
      <c r="A121" t="s">
        <v>696</v>
      </c>
      <c r="B121" s="1">
        <v>46226</v>
      </c>
      <c r="C121" t="s">
        <v>1232</v>
      </c>
      <c r="D121" t="s">
        <v>223</v>
      </c>
      <c r="E121" t="s">
        <v>387</v>
      </c>
      <c r="F121" s="2" t="s">
        <v>388</v>
      </c>
      <c r="G121" t="s">
        <v>347</v>
      </c>
      <c r="H121">
        <v>1</v>
      </c>
      <c r="I121">
        <v>850</v>
      </c>
      <c r="J121">
        <v>75</v>
      </c>
      <c r="K121">
        <v>775</v>
      </c>
      <c r="L121">
        <v>520</v>
      </c>
      <c r="M121">
        <v>255</v>
      </c>
      <c r="N121" t="s">
        <v>576</v>
      </c>
      <c r="O121" t="s">
        <v>266</v>
      </c>
      <c r="P121" t="s">
        <v>13</v>
      </c>
      <c r="Q121" t="s">
        <v>585</v>
      </c>
      <c r="R121" s="14">
        <v>0.32903225806451603</v>
      </c>
    </row>
    <row r="122" spans="1:18" hidden="1" x14ac:dyDescent="0.3">
      <c r="A122" t="s">
        <v>697</v>
      </c>
      <c r="B122" s="1">
        <v>46053</v>
      </c>
      <c r="C122" t="s">
        <v>1234</v>
      </c>
      <c r="D122" t="s">
        <v>25</v>
      </c>
      <c r="E122" t="s">
        <v>400</v>
      </c>
      <c r="F122" s="2" t="s">
        <v>401</v>
      </c>
      <c r="G122" t="s">
        <v>384</v>
      </c>
      <c r="H122">
        <v>2</v>
      </c>
      <c r="I122">
        <v>950</v>
      </c>
      <c r="J122">
        <v>50</v>
      </c>
      <c r="K122">
        <v>1850</v>
      </c>
      <c r="L122">
        <v>1140</v>
      </c>
      <c r="M122">
        <v>710</v>
      </c>
      <c r="N122" t="s">
        <v>570</v>
      </c>
      <c r="O122" t="s">
        <v>269</v>
      </c>
      <c r="P122" t="s">
        <v>8</v>
      </c>
      <c r="Q122" t="s">
        <v>585</v>
      </c>
      <c r="R122" s="14">
        <v>0.38378378378378403</v>
      </c>
    </row>
    <row r="123" spans="1:18" x14ac:dyDescent="0.3">
      <c r="A123" t="s">
        <v>698</v>
      </c>
      <c r="B123" s="1">
        <v>46123</v>
      </c>
      <c r="C123" t="s">
        <v>1231</v>
      </c>
      <c r="D123" t="s">
        <v>49</v>
      </c>
      <c r="E123" t="s">
        <v>419</v>
      </c>
      <c r="F123" s="2" t="s">
        <v>420</v>
      </c>
      <c r="G123" t="s">
        <v>362</v>
      </c>
      <c r="H123">
        <v>3</v>
      </c>
      <c r="I123">
        <v>1350</v>
      </c>
      <c r="J123">
        <v>0</v>
      </c>
      <c r="K123">
        <v>4050</v>
      </c>
      <c r="L123">
        <v>2550</v>
      </c>
      <c r="M123">
        <v>1500</v>
      </c>
      <c r="N123" t="s">
        <v>579</v>
      </c>
      <c r="O123" t="s">
        <v>266</v>
      </c>
      <c r="P123" t="s">
        <v>8</v>
      </c>
      <c r="Q123" t="s">
        <v>585</v>
      </c>
      <c r="R123" s="14">
        <v>0.37037037037037002</v>
      </c>
    </row>
    <row r="124" spans="1:18" hidden="1" x14ac:dyDescent="0.3">
      <c r="A124" t="s">
        <v>699</v>
      </c>
      <c r="B124" s="1">
        <v>46190</v>
      </c>
      <c r="C124" t="s">
        <v>1233</v>
      </c>
      <c r="D124" t="s">
        <v>37</v>
      </c>
      <c r="E124" t="s">
        <v>387</v>
      </c>
      <c r="F124" s="2" t="s">
        <v>388</v>
      </c>
      <c r="G124" t="s">
        <v>347</v>
      </c>
      <c r="H124">
        <v>3</v>
      </c>
      <c r="I124">
        <v>850</v>
      </c>
      <c r="J124">
        <v>20</v>
      </c>
      <c r="K124">
        <v>2530</v>
      </c>
      <c r="L124">
        <v>1560</v>
      </c>
      <c r="M124">
        <v>970</v>
      </c>
      <c r="N124" t="s">
        <v>567</v>
      </c>
      <c r="O124" t="s">
        <v>269</v>
      </c>
      <c r="P124" t="s">
        <v>13</v>
      </c>
      <c r="Q124" t="s">
        <v>585</v>
      </c>
      <c r="R124" s="14">
        <v>0.38339920948616601</v>
      </c>
    </row>
    <row r="125" spans="1:18" hidden="1" x14ac:dyDescent="0.3">
      <c r="A125" t="s">
        <v>700</v>
      </c>
      <c r="B125" s="1">
        <v>46191</v>
      </c>
      <c r="C125" t="s">
        <v>1233</v>
      </c>
      <c r="D125" t="s">
        <v>77</v>
      </c>
      <c r="E125" t="s">
        <v>369</v>
      </c>
      <c r="F125" s="2" t="s">
        <v>370</v>
      </c>
      <c r="G125" t="s">
        <v>371</v>
      </c>
      <c r="H125">
        <v>2</v>
      </c>
      <c r="I125">
        <v>1450</v>
      </c>
      <c r="J125">
        <v>0</v>
      </c>
      <c r="K125">
        <v>2900</v>
      </c>
      <c r="L125">
        <v>1800</v>
      </c>
      <c r="M125">
        <v>1100</v>
      </c>
      <c r="N125" t="s">
        <v>576</v>
      </c>
      <c r="O125" t="s">
        <v>269</v>
      </c>
      <c r="P125" t="s">
        <v>8</v>
      </c>
      <c r="Q125" t="s">
        <v>585</v>
      </c>
      <c r="R125" s="14">
        <v>0.37931034482758602</v>
      </c>
    </row>
    <row r="126" spans="1:18" hidden="1" x14ac:dyDescent="0.3">
      <c r="A126" t="s">
        <v>701</v>
      </c>
      <c r="B126" s="1">
        <v>46113</v>
      </c>
      <c r="C126" t="s">
        <v>1231</v>
      </c>
      <c r="D126" t="s">
        <v>41</v>
      </c>
      <c r="E126" t="s">
        <v>345</v>
      </c>
      <c r="F126" s="2" t="s">
        <v>346</v>
      </c>
      <c r="G126" t="s">
        <v>347</v>
      </c>
      <c r="H126">
        <v>1</v>
      </c>
      <c r="I126">
        <v>700</v>
      </c>
      <c r="J126">
        <v>20</v>
      </c>
      <c r="K126">
        <v>680</v>
      </c>
      <c r="L126">
        <v>410</v>
      </c>
      <c r="M126">
        <v>270</v>
      </c>
      <c r="N126" t="s">
        <v>570</v>
      </c>
      <c r="O126" t="s">
        <v>269</v>
      </c>
      <c r="P126" t="s">
        <v>18</v>
      </c>
      <c r="Q126" t="s">
        <v>568</v>
      </c>
      <c r="R126" s="14">
        <v>0.39705882352941202</v>
      </c>
    </row>
    <row r="127" spans="1:18" hidden="1" x14ac:dyDescent="0.3">
      <c r="A127" t="s">
        <v>702</v>
      </c>
      <c r="B127" s="1">
        <v>46110</v>
      </c>
      <c r="C127" t="s">
        <v>1230</v>
      </c>
      <c r="D127" t="s">
        <v>73</v>
      </c>
      <c r="E127" t="s">
        <v>400</v>
      </c>
      <c r="F127" s="2" t="s">
        <v>401</v>
      </c>
      <c r="G127" t="s">
        <v>384</v>
      </c>
      <c r="H127">
        <v>2</v>
      </c>
      <c r="I127">
        <v>950</v>
      </c>
      <c r="J127">
        <v>0</v>
      </c>
      <c r="K127">
        <v>1900</v>
      </c>
      <c r="L127">
        <v>1140</v>
      </c>
      <c r="M127">
        <v>760</v>
      </c>
      <c r="N127" t="s">
        <v>573</v>
      </c>
      <c r="O127" t="s">
        <v>269</v>
      </c>
      <c r="P127" t="s">
        <v>18</v>
      </c>
      <c r="Q127" t="s">
        <v>568</v>
      </c>
      <c r="R127" s="14">
        <v>0.4</v>
      </c>
    </row>
    <row r="128" spans="1:18" hidden="1" x14ac:dyDescent="0.3">
      <c r="A128" t="s">
        <v>703</v>
      </c>
      <c r="B128" s="1">
        <v>46221</v>
      </c>
      <c r="C128" t="s">
        <v>1232</v>
      </c>
      <c r="D128" t="s">
        <v>169</v>
      </c>
      <c r="E128" t="s">
        <v>369</v>
      </c>
      <c r="F128" s="2" t="s">
        <v>370</v>
      </c>
      <c r="G128" t="s">
        <v>371</v>
      </c>
      <c r="H128">
        <v>1</v>
      </c>
      <c r="I128">
        <v>1450</v>
      </c>
      <c r="J128">
        <v>50</v>
      </c>
      <c r="K128">
        <v>1400</v>
      </c>
      <c r="L128">
        <v>900</v>
      </c>
      <c r="M128">
        <v>500</v>
      </c>
      <c r="N128" t="s">
        <v>576</v>
      </c>
      <c r="O128" t="s">
        <v>269</v>
      </c>
      <c r="P128" t="s">
        <v>13</v>
      </c>
      <c r="Q128" t="s">
        <v>574</v>
      </c>
      <c r="R128" s="14">
        <v>0.35714285714285698</v>
      </c>
    </row>
    <row r="129" spans="1:18" x14ac:dyDescent="0.3">
      <c r="A129" t="s">
        <v>704</v>
      </c>
      <c r="B129" s="1">
        <v>46071</v>
      </c>
      <c r="C129" t="s">
        <v>1235</v>
      </c>
      <c r="D129" t="s">
        <v>149</v>
      </c>
      <c r="E129" t="s">
        <v>419</v>
      </c>
      <c r="F129" s="2" t="s">
        <v>420</v>
      </c>
      <c r="G129" t="s">
        <v>362</v>
      </c>
      <c r="H129">
        <v>1</v>
      </c>
      <c r="I129">
        <v>1350</v>
      </c>
      <c r="J129">
        <v>100</v>
      </c>
      <c r="K129">
        <v>1250</v>
      </c>
      <c r="L129">
        <v>850</v>
      </c>
      <c r="M129">
        <v>400</v>
      </c>
      <c r="N129" t="s">
        <v>573</v>
      </c>
      <c r="O129" t="s">
        <v>266</v>
      </c>
      <c r="P129" t="s">
        <v>13</v>
      </c>
      <c r="Q129" t="s">
        <v>568</v>
      </c>
      <c r="R129" s="14">
        <v>0.32</v>
      </c>
    </row>
    <row r="130" spans="1:18" hidden="1" x14ac:dyDescent="0.3">
      <c r="A130" t="s">
        <v>705</v>
      </c>
      <c r="B130" s="1">
        <v>46054</v>
      </c>
      <c r="C130" t="s">
        <v>1235</v>
      </c>
      <c r="D130" t="s">
        <v>67</v>
      </c>
      <c r="E130" t="s">
        <v>415</v>
      </c>
      <c r="F130" s="2" t="s">
        <v>416</v>
      </c>
      <c r="G130" t="s">
        <v>347</v>
      </c>
      <c r="H130">
        <v>1</v>
      </c>
      <c r="I130">
        <v>1250</v>
      </c>
      <c r="J130">
        <v>75</v>
      </c>
      <c r="K130">
        <v>1175</v>
      </c>
      <c r="L130">
        <v>760</v>
      </c>
      <c r="M130">
        <v>415</v>
      </c>
      <c r="N130" t="s">
        <v>567</v>
      </c>
      <c r="O130" t="s">
        <v>269</v>
      </c>
      <c r="P130" t="s">
        <v>13</v>
      </c>
      <c r="Q130" t="s">
        <v>568</v>
      </c>
      <c r="R130" s="14">
        <v>0.35319148936170203</v>
      </c>
    </row>
    <row r="131" spans="1:18" hidden="1" x14ac:dyDescent="0.3">
      <c r="A131" t="s">
        <v>706</v>
      </c>
      <c r="B131" s="1">
        <v>46137</v>
      </c>
      <c r="C131" t="s">
        <v>1231</v>
      </c>
      <c r="D131" t="s">
        <v>101</v>
      </c>
      <c r="E131" t="s">
        <v>400</v>
      </c>
      <c r="F131" s="2" t="s">
        <v>401</v>
      </c>
      <c r="G131" t="s">
        <v>384</v>
      </c>
      <c r="H131">
        <v>2</v>
      </c>
      <c r="I131">
        <v>950</v>
      </c>
      <c r="J131">
        <v>0</v>
      </c>
      <c r="K131">
        <v>1900</v>
      </c>
      <c r="L131">
        <v>1140</v>
      </c>
      <c r="M131">
        <v>760</v>
      </c>
      <c r="N131" t="s">
        <v>579</v>
      </c>
      <c r="O131" t="s">
        <v>266</v>
      </c>
      <c r="P131" t="s">
        <v>8</v>
      </c>
      <c r="Q131" t="s">
        <v>568</v>
      </c>
      <c r="R131" s="14">
        <v>0.4</v>
      </c>
    </row>
    <row r="132" spans="1:18" hidden="1" x14ac:dyDescent="0.3">
      <c r="A132" t="s">
        <v>707</v>
      </c>
      <c r="B132" s="1">
        <v>46154</v>
      </c>
      <c r="C132" t="s">
        <v>1237</v>
      </c>
      <c r="D132" t="s">
        <v>6</v>
      </c>
      <c r="E132" t="s">
        <v>345</v>
      </c>
      <c r="F132" s="2" t="s">
        <v>346</v>
      </c>
      <c r="G132" t="s">
        <v>347</v>
      </c>
      <c r="H132">
        <v>1</v>
      </c>
      <c r="I132">
        <v>700</v>
      </c>
      <c r="J132">
        <v>50</v>
      </c>
      <c r="K132">
        <v>650</v>
      </c>
      <c r="L132">
        <v>410</v>
      </c>
      <c r="M132">
        <v>240</v>
      </c>
      <c r="N132" t="s">
        <v>567</v>
      </c>
      <c r="O132" t="s">
        <v>269</v>
      </c>
      <c r="P132" t="s">
        <v>18</v>
      </c>
      <c r="Q132" t="s">
        <v>585</v>
      </c>
      <c r="R132" s="14">
        <v>0.36923076923076897</v>
      </c>
    </row>
    <row r="133" spans="1:18" hidden="1" x14ac:dyDescent="0.3">
      <c r="A133" t="s">
        <v>708</v>
      </c>
      <c r="B133" s="1">
        <v>46146</v>
      </c>
      <c r="C133" t="s">
        <v>1237</v>
      </c>
      <c r="D133" t="s">
        <v>201</v>
      </c>
      <c r="E133" t="s">
        <v>369</v>
      </c>
      <c r="F133" s="2" t="s">
        <v>370</v>
      </c>
      <c r="G133" t="s">
        <v>371</v>
      </c>
      <c r="H133">
        <v>1</v>
      </c>
      <c r="I133">
        <v>1450</v>
      </c>
      <c r="J133">
        <v>50</v>
      </c>
      <c r="K133">
        <v>1400</v>
      </c>
      <c r="L133">
        <v>900</v>
      </c>
      <c r="M133">
        <v>500</v>
      </c>
      <c r="N133" t="s">
        <v>576</v>
      </c>
      <c r="O133" t="s">
        <v>266</v>
      </c>
      <c r="P133" t="s">
        <v>8</v>
      </c>
      <c r="Q133" t="s">
        <v>585</v>
      </c>
      <c r="R133" s="14">
        <v>0.35714285714285698</v>
      </c>
    </row>
    <row r="134" spans="1:18" hidden="1" x14ac:dyDescent="0.3">
      <c r="A134" t="s">
        <v>709</v>
      </c>
      <c r="B134" s="1">
        <v>46238</v>
      </c>
      <c r="C134" t="s">
        <v>1236</v>
      </c>
      <c r="D134" t="s">
        <v>181</v>
      </c>
      <c r="E134" t="s">
        <v>400</v>
      </c>
      <c r="F134" s="2" t="s">
        <v>401</v>
      </c>
      <c r="G134" t="s">
        <v>384</v>
      </c>
      <c r="H134">
        <v>1</v>
      </c>
      <c r="I134">
        <v>950</v>
      </c>
      <c r="J134">
        <v>0</v>
      </c>
      <c r="K134">
        <v>950</v>
      </c>
      <c r="L134">
        <v>570</v>
      </c>
      <c r="M134">
        <v>380</v>
      </c>
      <c r="N134" t="s">
        <v>570</v>
      </c>
      <c r="O134" t="s">
        <v>269</v>
      </c>
      <c r="P134" t="s">
        <v>13</v>
      </c>
      <c r="Q134" t="s">
        <v>574</v>
      </c>
      <c r="R134" s="14">
        <v>0.4</v>
      </c>
    </row>
    <row r="135" spans="1:18" hidden="1" x14ac:dyDescent="0.3">
      <c r="A135" t="s">
        <v>710</v>
      </c>
      <c r="B135" s="1">
        <v>46119</v>
      </c>
      <c r="C135" t="s">
        <v>1231</v>
      </c>
      <c r="D135" t="s">
        <v>191</v>
      </c>
      <c r="E135" t="s">
        <v>382</v>
      </c>
      <c r="F135" s="2" t="s">
        <v>383</v>
      </c>
      <c r="G135" t="s">
        <v>384</v>
      </c>
      <c r="H135">
        <v>2</v>
      </c>
      <c r="I135">
        <v>1200</v>
      </c>
      <c r="J135">
        <v>0</v>
      </c>
      <c r="K135">
        <v>2400</v>
      </c>
      <c r="L135">
        <v>1460</v>
      </c>
      <c r="M135">
        <v>940</v>
      </c>
      <c r="N135" t="s">
        <v>579</v>
      </c>
      <c r="O135" t="s">
        <v>269</v>
      </c>
      <c r="P135" t="s">
        <v>8</v>
      </c>
      <c r="Q135" t="s">
        <v>574</v>
      </c>
      <c r="R135" s="14">
        <v>0.391666666666667</v>
      </c>
    </row>
    <row r="136" spans="1:18" hidden="1" x14ac:dyDescent="0.3">
      <c r="A136" t="s">
        <v>711</v>
      </c>
      <c r="B136" s="1">
        <v>46187</v>
      </c>
      <c r="C136" t="s">
        <v>1233</v>
      </c>
      <c r="D136" t="s">
        <v>115</v>
      </c>
      <c r="E136" t="s">
        <v>396</v>
      </c>
      <c r="F136" s="2" t="s">
        <v>397</v>
      </c>
      <c r="G136" t="s">
        <v>376</v>
      </c>
      <c r="H136">
        <v>2</v>
      </c>
      <c r="I136">
        <v>600</v>
      </c>
      <c r="J136">
        <v>20</v>
      </c>
      <c r="K136">
        <v>1180</v>
      </c>
      <c r="L136">
        <v>700</v>
      </c>
      <c r="M136">
        <v>480</v>
      </c>
      <c r="N136" t="s">
        <v>567</v>
      </c>
      <c r="O136" t="s">
        <v>266</v>
      </c>
      <c r="P136" t="s">
        <v>18</v>
      </c>
      <c r="Q136" t="s">
        <v>568</v>
      </c>
      <c r="R136" s="14">
        <v>0.40677966101694901</v>
      </c>
    </row>
    <row r="137" spans="1:18" hidden="1" x14ac:dyDescent="0.3">
      <c r="A137" t="s">
        <v>712</v>
      </c>
      <c r="B137" s="1">
        <v>46173</v>
      </c>
      <c r="C137" t="s">
        <v>1237</v>
      </c>
      <c r="D137" t="s">
        <v>177</v>
      </c>
      <c r="E137" t="s">
        <v>345</v>
      </c>
      <c r="F137" s="2" t="s">
        <v>346</v>
      </c>
      <c r="G137" t="s">
        <v>347</v>
      </c>
      <c r="H137">
        <v>1</v>
      </c>
      <c r="I137">
        <v>700</v>
      </c>
      <c r="J137">
        <v>0</v>
      </c>
      <c r="K137">
        <v>700</v>
      </c>
      <c r="L137">
        <v>410</v>
      </c>
      <c r="M137">
        <v>290</v>
      </c>
      <c r="N137" t="s">
        <v>570</v>
      </c>
      <c r="O137" t="s">
        <v>266</v>
      </c>
      <c r="P137" t="s">
        <v>13</v>
      </c>
      <c r="Q137" t="s">
        <v>585</v>
      </c>
      <c r="R137" s="14">
        <v>0.41428571428571398</v>
      </c>
    </row>
    <row r="138" spans="1:18" hidden="1" x14ac:dyDescent="0.3">
      <c r="A138" t="s">
        <v>713</v>
      </c>
      <c r="B138" s="1">
        <v>46069</v>
      </c>
      <c r="C138" t="s">
        <v>1235</v>
      </c>
      <c r="D138" t="s">
        <v>145</v>
      </c>
      <c r="E138" t="s">
        <v>366</v>
      </c>
      <c r="F138" s="2" t="s">
        <v>367</v>
      </c>
      <c r="G138" t="s">
        <v>352</v>
      </c>
      <c r="H138">
        <v>1</v>
      </c>
      <c r="I138">
        <v>1500</v>
      </c>
      <c r="J138">
        <v>75</v>
      </c>
      <c r="K138">
        <v>1425</v>
      </c>
      <c r="L138">
        <v>920</v>
      </c>
      <c r="M138">
        <v>505</v>
      </c>
      <c r="N138" t="s">
        <v>576</v>
      </c>
      <c r="O138" t="s">
        <v>269</v>
      </c>
      <c r="P138" t="s">
        <v>8</v>
      </c>
      <c r="Q138" t="s">
        <v>585</v>
      </c>
      <c r="R138" s="14">
        <v>0.35438596491228103</v>
      </c>
    </row>
    <row r="139" spans="1:18" hidden="1" x14ac:dyDescent="0.3">
      <c r="A139" t="s">
        <v>714</v>
      </c>
      <c r="B139" s="1">
        <v>46027</v>
      </c>
      <c r="C139" t="s">
        <v>1234</v>
      </c>
      <c r="D139" t="s">
        <v>81</v>
      </c>
      <c r="E139" t="s">
        <v>415</v>
      </c>
      <c r="F139" s="2" t="s">
        <v>416</v>
      </c>
      <c r="G139" t="s">
        <v>347</v>
      </c>
      <c r="H139">
        <v>2</v>
      </c>
      <c r="I139">
        <v>1250</v>
      </c>
      <c r="J139">
        <v>0</v>
      </c>
      <c r="K139">
        <v>2500</v>
      </c>
      <c r="L139">
        <v>1520</v>
      </c>
      <c r="M139">
        <v>980</v>
      </c>
      <c r="N139" t="s">
        <v>573</v>
      </c>
      <c r="O139" t="s">
        <v>266</v>
      </c>
      <c r="P139" t="s">
        <v>13</v>
      </c>
      <c r="Q139" t="s">
        <v>568</v>
      </c>
      <c r="R139" s="14">
        <v>0.39200000000000002</v>
      </c>
    </row>
    <row r="140" spans="1:18" hidden="1" x14ac:dyDescent="0.3">
      <c r="A140" t="s">
        <v>715</v>
      </c>
      <c r="B140" s="1">
        <v>46103</v>
      </c>
      <c r="C140" t="s">
        <v>1230</v>
      </c>
      <c r="D140" t="s">
        <v>155</v>
      </c>
      <c r="E140" t="s">
        <v>355</v>
      </c>
      <c r="F140" s="2" t="s">
        <v>356</v>
      </c>
      <c r="G140" t="s">
        <v>343</v>
      </c>
      <c r="H140">
        <v>4</v>
      </c>
      <c r="I140">
        <v>550</v>
      </c>
      <c r="J140">
        <v>50</v>
      </c>
      <c r="K140">
        <v>2150</v>
      </c>
      <c r="L140">
        <v>1200</v>
      </c>
      <c r="M140">
        <v>950</v>
      </c>
      <c r="N140" t="s">
        <v>570</v>
      </c>
      <c r="O140" t="s">
        <v>266</v>
      </c>
      <c r="P140" t="s">
        <v>18</v>
      </c>
      <c r="Q140" t="s">
        <v>585</v>
      </c>
      <c r="R140" s="14">
        <v>0.44186046511627902</v>
      </c>
    </row>
    <row r="141" spans="1:18" hidden="1" x14ac:dyDescent="0.3">
      <c r="A141" t="s">
        <v>716</v>
      </c>
      <c r="B141" s="1">
        <v>46031</v>
      </c>
      <c r="C141" t="s">
        <v>1234</v>
      </c>
      <c r="D141" t="s">
        <v>87</v>
      </c>
      <c r="E141" t="s">
        <v>387</v>
      </c>
      <c r="F141" s="2" t="s">
        <v>388</v>
      </c>
      <c r="G141" t="s">
        <v>347</v>
      </c>
      <c r="H141">
        <v>1</v>
      </c>
      <c r="I141">
        <v>850</v>
      </c>
      <c r="J141">
        <v>20</v>
      </c>
      <c r="K141">
        <v>830</v>
      </c>
      <c r="L141">
        <v>520</v>
      </c>
      <c r="M141">
        <v>310</v>
      </c>
      <c r="N141" t="s">
        <v>579</v>
      </c>
      <c r="O141" t="s">
        <v>269</v>
      </c>
      <c r="P141" t="s">
        <v>13</v>
      </c>
      <c r="Q141" t="s">
        <v>568</v>
      </c>
      <c r="R141" s="14">
        <v>0.373493975903614</v>
      </c>
    </row>
    <row r="142" spans="1:18" x14ac:dyDescent="0.3">
      <c r="A142" t="s">
        <v>717</v>
      </c>
      <c r="B142" s="1">
        <v>46176</v>
      </c>
      <c r="C142" t="s">
        <v>1233</v>
      </c>
      <c r="D142" t="s">
        <v>123</v>
      </c>
      <c r="E142" t="s">
        <v>419</v>
      </c>
      <c r="F142" s="2" t="s">
        <v>420</v>
      </c>
      <c r="G142" t="s">
        <v>362</v>
      </c>
      <c r="H142">
        <v>2</v>
      </c>
      <c r="I142">
        <v>1350</v>
      </c>
      <c r="J142">
        <v>20</v>
      </c>
      <c r="K142">
        <v>2680</v>
      </c>
      <c r="L142">
        <v>1700</v>
      </c>
      <c r="M142">
        <v>980</v>
      </c>
      <c r="N142" t="s">
        <v>567</v>
      </c>
      <c r="O142" t="s">
        <v>269</v>
      </c>
      <c r="P142" t="s">
        <v>8</v>
      </c>
      <c r="Q142" t="s">
        <v>568</v>
      </c>
      <c r="R142" s="14">
        <v>0.365671641791045</v>
      </c>
    </row>
    <row r="143" spans="1:18" hidden="1" x14ac:dyDescent="0.3">
      <c r="A143" t="s">
        <v>718</v>
      </c>
      <c r="B143" s="1">
        <v>46064</v>
      </c>
      <c r="C143" t="s">
        <v>1235</v>
      </c>
      <c r="D143" t="s">
        <v>207</v>
      </c>
      <c r="E143" t="s">
        <v>393</v>
      </c>
      <c r="F143" s="2" t="s">
        <v>394</v>
      </c>
      <c r="G143" t="s">
        <v>371</v>
      </c>
      <c r="H143">
        <v>2</v>
      </c>
      <c r="I143">
        <v>1150</v>
      </c>
      <c r="J143">
        <v>20</v>
      </c>
      <c r="K143">
        <v>2280</v>
      </c>
      <c r="L143">
        <v>1400</v>
      </c>
      <c r="M143">
        <v>880</v>
      </c>
      <c r="N143" t="s">
        <v>573</v>
      </c>
      <c r="O143" t="s">
        <v>266</v>
      </c>
      <c r="P143" t="s">
        <v>8</v>
      </c>
      <c r="Q143" t="s">
        <v>574</v>
      </c>
      <c r="R143" s="14">
        <v>0.38596491228070201</v>
      </c>
    </row>
    <row r="144" spans="1:18" hidden="1" x14ac:dyDescent="0.3">
      <c r="A144" t="s">
        <v>719</v>
      </c>
      <c r="B144" s="1">
        <v>46139</v>
      </c>
      <c r="C144" t="s">
        <v>1231</v>
      </c>
      <c r="D144" t="s">
        <v>219</v>
      </c>
      <c r="E144" t="s">
        <v>382</v>
      </c>
      <c r="F144" s="2" t="s">
        <v>383</v>
      </c>
      <c r="G144" t="s">
        <v>384</v>
      </c>
      <c r="H144">
        <v>1</v>
      </c>
      <c r="I144">
        <v>1200</v>
      </c>
      <c r="J144">
        <v>50</v>
      </c>
      <c r="K144">
        <v>1150</v>
      </c>
      <c r="L144">
        <v>730</v>
      </c>
      <c r="M144">
        <v>420</v>
      </c>
      <c r="N144" t="s">
        <v>567</v>
      </c>
      <c r="O144" t="s">
        <v>269</v>
      </c>
      <c r="P144" t="s">
        <v>13</v>
      </c>
      <c r="Q144" t="s">
        <v>568</v>
      </c>
      <c r="R144" s="14">
        <v>0.36521739130434799</v>
      </c>
    </row>
    <row r="145" spans="1:18" hidden="1" x14ac:dyDescent="0.3">
      <c r="A145" t="s">
        <v>720</v>
      </c>
      <c r="B145" s="1">
        <v>46075</v>
      </c>
      <c r="C145" t="s">
        <v>1235</v>
      </c>
      <c r="D145" t="s">
        <v>149</v>
      </c>
      <c r="E145" t="s">
        <v>393</v>
      </c>
      <c r="F145" s="2" t="s">
        <v>394</v>
      </c>
      <c r="G145" t="s">
        <v>371</v>
      </c>
      <c r="H145">
        <v>2</v>
      </c>
      <c r="I145">
        <v>1150</v>
      </c>
      <c r="J145">
        <v>50</v>
      </c>
      <c r="K145">
        <v>2250</v>
      </c>
      <c r="L145">
        <v>1400</v>
      </c>
      <c r="M145">
        <v>850</v>
      </c>
      <c r="N145" t="s">
        <v>579</v>
      </c>
      <c r="O145" t="s">
        <v>269</v>
      </c>
      <c r="P145" t="s">
        <v>13</v>
      </c>
      <c r="Q145" t="s">
        <v>568</v>
      </c>
      <c r="R145" s="14">
        <v>0.37777777777777799</v>
      </c>
    </row>
    <row r="146" spans="1:18" hidden="1" x14ac:dyDescent="0.3">
      <c r="A146" t="s">
        <v>721</v>
      </c>
      <c r="B146" s="1">
        <v>46152</v>
      </c>
      <c r="C146" t="s">
        <v>1237</v>
      </c>
      <c r="D146" t="s">
        <v>115</v>
      </c>
      <c r="E146" t="s">
        <v>350</v>
      </c>
      <c r="F146" s="2" t="s">
        <v>351</v>
      </c>
      <c r="G146" t="s">
        <v>352</v>
      </c>
      <c r="H146">
        <v>2</v>
      </c>
      <c r="I146">
        <v>900</v>
      </c>
      <c r="J146">
        <v>20</v>
      </c>
      <c r="K146">
        <v>1780</v>
      </c>
      <c r="L146">
        <v>1080</v>
      </c>
      <c r="M146">
        <v>700</v>
      </c>
      <c r="N146" t="s">
        <v>570</v>
      </c>
      <c r="O146" t="s">
        <v>269</v>
      </c>
      <c r="P146" t="s">
        <v>18</v>
      </c>
      <c r="Q146" t="s">
        <v>568</v>
      </c>
      <c r="R146" s="14">
        <v>0.39325842696629199</v>
      </c>
    </row>
    <row r="147" spans="1:18" hidden="1" x14ac:dyDescent="0.3">
      <c r="A147" t="s">
        <v>722</v>
      </c>
      <c r="B147" s="1">
        <v>46062</v>
      </c>
      <c r="C147" t="s">
        <v>1235</v>
      </c>
      <c r="D147" t="s">
        <v>29</v>
      </c>
      <c r="E147" t="s">
        <v>415</v>
      </c>
      <c r="F147" s="2" t="s">
        <v>416</v>
      </c>
      <c r="G147" t="s">
        <v>347</v>
      </c>
      <c r="H147">
        <v>1</v>
      </c>
      <c r="I147">
        <v>1250</v>
      </c>
      <c r="J147">
        <v>20</v>
      </c>
      <c r="K147">
        <v>1230</v>
      </c>
      <c r="L147">
        <v>760</v>
      </c>
      <c r="M147">
        <v>470</v>
      </c>
      <c r="N147" t="s">
        <v>576</v>
      </c>
      <c r="O147" t="s">
        <v>269</v>
      </c>
      <c r="P147" t="s">
        <v>18</v>
      </c>
      <c r="Q147" t="s">
        <v>568</v>
      </c>
      <c r="R147" s="14">
        <v>0.38211382113821102</v>
      </c>
    </row>
    <row r="148" spans="1:18" hidden="1" x14ac:dyDescent="0.3">
      <c r="A148" t="s">
        <v>723</v>
      </c>
      <c r="B148" s="1">
        <v>46174</v>
      </c>
      <c r="C148" t="s">
        <v>1233</v>
      </c>
      <c r="D148" t="s">
        <v>243</v>
      </c>
      <c r="E148" t="s">
        <v>415</v>
      </c>
      <c r="F148" s="2" t="s">
        <v>416</v>
      </c>
      <c r="G148" t="s">
        <v>347</v>
      </c>
      <c r="H148">
        <v>3</v>
      </c>
      <c r="I148">
        <v>1250</v>
      </c>
      <c r="J148">
        <v>20</v>
      </c>
      <c r="K148">
        <v>3730</v>
      </c>
      <c r="L148">
        <v>2280</v>
      </c>
      <c r="M148">
        <v>1450</v>
      </c>
      <c r="N148" t="s">
        <v>567</v>
      </c>
      <c r="O148" t="s">
        <v>266</v>
      </c>
      <c r="P148" t="s">
        <v>13</v>
      </c>
      <c r="Q148" t="s">
        <v>568</v>
      </c>
      <c r="R148" s="14">
        <v>0.38873994638069698</v>
      </c>
    </row>
    <row r="149" spans="1:18" hidden="1" x14ac:dyDescent="0.3">
      <c r="A149" t="s">
        <v>724</v>
      </c>
      <c r="B149" s="1">
        <v>46257</v>
      </c>
      <c r="C149" t="s">
        <v>1236</v>
      </c>
      <c r="D149" t="s">
        <v>169</v>
      </c>
      <c r="E149" t="s">
        <v>374</v>
      </c>
      <c r="F149" s="2" t="s">
        <v>375</v>
      </c>
      <c r="G149" t="s">
        <v>376</v>
      </c>
      <c r="H149">
        <v>1</v>
      </c>
      <c r="I149">
        <v>800</v>
      </c>
      <c r="J149">
        <v>20</v>
      </c>
      <c r="K149">
        <v>780</v>
      </c>
      <c r="L149">
        <v>470</v>
      </c>
      <c r="M149">
        <v>310</v>
      </c>
      <c r="N149" t="s">
        <v>570</v>
      </c>
      <c r="O149" t="s">
        <v>269</v>
      </c>
      <c r="P149" t="s">
        <v>18</v>
      </c>
      <c r="Q149" t="s">
        <v>568</v>
      </c>
      <c r="R149" s="14">
        <v>0.39743589743589702</v>
      </c>
    </row>
    <row r="150" spans="1:18" hidden="1" x14ac:dyDescent="0.3">
      <c r="A150" t="s">
        <v>725</v>
      </c>
      <c r="B150" s="1">
        <v>46062</v>
      </c>
      <c r="C150" t="s">
        <v>1235</v>
      </c>
      <c r="D150" t="s">
        <v>41</v>
      </c>
      <c r="E150" t="s">
        <v>369</v>
      </c>
      <c r="F150" s="2" t="s">
        <v>370</v>
      </c>
      <c r="G150" t="s">
        <v>371</v>
      </c>
      <c r="H150">
        <v>1</v>
      </c>
      <c r="I150">
        <v>1450</v>
      </c>
      <c r="J150">
        <v>0</v>
      </c>
      <c r="K150">
        <v>1450</v>
      </c>
      <c r="L150">
        <v>900</v>
      </c>
      <c r="M150">
        <v>550</v>
      </c>
      <c r="N150" t="s">
        <v>573</v>
      </c>
      <c r="O150" t="s">
        <v>269</v>
      </c>
      <c r="P150" t="s">
        <v>13</v>
      </c>
      <c r="Q150" t="s">
        <v>574</v>
      </c>
      <c r="R150" s="14">
        <v>0.37931034482758602</v>
      </c>
    </row>
    <row r="151" spans="1:18" hidden="1" x14ac:dyDescent="0.3">
      <c r="A151" t="s">
        <v>726</v>
      </c>
      <c r="B151" s="1">
        <v>46264</v>
      </c>
      <c r="C151" t="s">
        <v>1236</v>
      </c>
      <c r="D151" t="s">
        <v>209</v>
      </c>
      <c r="E151" t="s">
        <v>369</v>
      </c>
      <c r="F151" s="2" t="s">
        <v>370</v>
      </c>
      <c r="G151" t="s">
        <v>371</v>
      </c>
      <c r="H151">
        <v>1</v>
      </c>
      <c r="I151">
        <v>1450</v>
      </c>
      <c r="J151">
        <v>0</v>
      </c>
      <c r="K151">
        <v>1450</v>
      </c>
      <c r="L151">
        <v>900</v>
      </c>
      <c r="M151">
        <v>550</v>
      </c>
      <c r="N151" t="s">
        <v>576</v>
      </c>
      <c r="O151" t="s">
        <v>266</v>
      </c>
      <c r="P151" t="s">
        <v>18</v>
      </c>
      <c r="Q151" t="s">
        <v>568</v>
      </c>
      <c r="R151" s="14">
        <v>0.37931034482758602</v>
      </c>
    </row>
    <row r="152" spans="1:18" hidden="1" x14ac:dyDescent="0.3">
      <c r="A152" t="s">
        <v>727</v>
      </c>
      <c r="B152" s="1">
        <v>46209</v>
      </c>
      <c r="C152" t="s">
        <v>1232</v>
      </c>
      <c r="D152" t="s">
        <v>105</v>
      </c>
      <c r="E152" t="s">
        <v>345</v>
      </c>
      <c r="F152" s="2" t="s">
        <v>346</v>
      </c>
      <c r="G152" t="s">
        <v>347</v>
      </c>
      <c r="H152">
        <v>1</v>
      </c>
      <c r="I152">
        <v>700</v>
      </c>
      <c r="J152">
        <v>0</v>
      </c>
      <c r="K152">
        <v>700</v>
      </c>
      <c r="L152">
        <v>410</v>
      </c>
      <c r="M152">
        <v>290</v>
      </c>
      <c r="N152" t="s">
        <v>567</v>
      </c>
      <c r="O152" t="s">
        <v>269</v>
      </c>
      <c r="P152" t="s">
        <v>8</v>
      </c>
      <c r="Q152" t="s">
        <v>574</v>
      </c>
      <c r="R152" s="14">
        <v>0.41428571428571398</v>
      </c>
    </row>
    <row r="153" spans="1:18" hidden="1" x14ac:dyDescent="0.3">
      <c r="A153" t="s">
        <v>728</v>
      </c>
      <c r="B153" s="1">
        <v>46238</v>
      </c>
      <c r="C153" t="s">
        <v>1236</v>
      </c>
      <c r="D153" t="s">
        <v>173</v>
      </c>
      <c r="E153" t="s">
        <v>387</v>
      </c>
      <c r="F153" s="2" t="s">
        <v>388</v>
      </c>
      <c r="G153" t="s">
        <v>347</v>
      </c>
      <c r="H153">
        <v>1</v>
      </c>
      <c r="I153">
        <v>850</v>
      </c>
      <c r="J153">
        <v>20</v>
      </c>
      <c r="K153">
        <v>830</v>
      </c>
      <c r="L153">
        <v>520</v>
      </c>
      <c r="M153">
        <v>310</v>
      </c>
      <c r="N153" t="s">
        <v>567</v>
      </c>
      <c r="O153" t="s">
        <v>269</v>
      </c>
      <c r="P153" t="s">
        <v>18</v>
      </c>
      <c r="Q153" t="s">
        <v>585</v>
      </c>
      <c r="R153" s="14">
        <v>0.373493975903614</v>
      </c>
    </row>
    <row r="154" spans="1:18" x14ac:dyDescent="0.3">
      <c r="A154" t="s">
        <v>729</v>
      </c>
      <c r="B154" s="1">
        <v>46034</v>
      </c>
      <c r="C154" t="s">
        <v>1234</v>
      </c>
      <c r="D154" t="s">
        <v>37</v>
      </c>
      <c r="E154" t="s">
        <v>419</v>
      </c>
      <c r="F154" s="2" t="s">
        <v>420</v>
      </c>
      <c r="G154" t="s">
        <v>362</v>
      </c>
      <c r="H154">
        <v>4</v>
      </c>
      <c r="I154">
        <v>1350</v>
      </c>
      <c r="J154">
        <v>75</v>
      </c>
      <c r="K154">
        <v>5325</v>
      </c>
      <c r="L154">
        <v>3400</v>
      </c>
      <c r="M154">
        <v>1925</v>
      </c>
      <c r="N154" t="s">
        <v>570</v>
      </c>
      <c r="O154" t="s">
        <v>266</v>
      </c>
      <c r="P154" t="s">
        <v>13</v>
      </c>
      <c r="Q154" t="s">
        <v>585</v>
      </c>
      <c r="R154" s="14">
        <v>0.36150234741783999</v>
      </c>
    </row>
    <row r="155" spans="1:18" hidden="1" x14ac:dyDescent="0.3">
      <c r="A155" t="s">
        <v>730</v>
      </c>
      <c r="B155" s="1">
        <v>46167</v>
      </c>
      <c r="C155" t="s">
        <v>1237</v>
      </c>
      <c r="D155" t="s">
        <v>53</v>
      </c>
      <c r="E155" t="s">
        <v>374</v>
      </c>
      <c r="F155" s="2" t="s">
        <v>375</v>
      </c>
      <c r="G155" t="s">
        <v>376</v>
      </c>
      <c r="H155">
        <v>1</v>
      </c>
      <c r="I155">
        <v>800</v>
      </c>
      <c r="J155">
        <v>20</v>
      </c>
      <c r="K155">
        <v>780</v>
      </c>
      <c r="L155">
        <v>470</v>
      </c>
      <c r="M155">
        <v>310</v>
      </c>
      <c r="N155" t="s">
        <v>579</v>
      </c>
      <c r="O155" t="s">
        <v>269</v>
      </c>
      <c r="P155" t="s">
        <v>8</v>
      </c>
      <c r="Q155" t="s">
        <v>585</v>
      </c>
      <c r="R155" s="14">
        <v>0.39743589743589702</v>
      </c>
    </row>
    <row r="156" spans="1:18" hidden="1" x14ac:dyDescent="0.3">
      <c r="A156" t="s">
        <v>731</v>
      </c>
      <c r="B156" s="1">
        <v>46137</v>
      </c>
      <c r="C156" t="s">
        <v>1231</v>
      </c>
      <c r="D156" t="s">
        <v>103</v>
      </c>
      <c r="E156" t="s">
        <v>396</v>
      </c>
      <c r="F156" s="2" t="s">
        <v>397</v>
      </c>
      <c r="G156" t="s">
        <v>376</v>
      </c>
      <c r="H156">
        <v>1</v>
      </c>
      <c r="I156">
        <v>600</v>
      </c>
      <c r="J156">
        <v>50</v>
      </c>
      <c r="K156">
        <v>550</v>
      </c>
      <c r="L156">
        <v>350</v>
      </c>
      <c r="M156">
        <v>200</v>
      </c>
      <c r="N156" t="s">
        <v>579</v>
      </c>
      <c r="O156" t="s">
        <v>269</v>
      </c>
      <c r="P156" t="s">
        <v>18</v>
      </c>
      <c r="Q156" t="s">
        <v>585</v>
      </c>
      <c r="R156" s="14">
        <v>0.36363636363636398</v>
      </c>
    </row>
    <row r="157" spans="1:18" hidden="1" x14ac:dyDescent="0.3">
      <c r="A157" t="s">
        <v>732</v>
      </c>
      <c r="B157" s="1">
        <v>46168</v>
      </c>
      <c r="C157" t="s">
        <v>1237</v>
      </c>
      <c r="D157" t="s">
        <v>125</v>
      </c>
      <c r="E157" t="s">
        <v>374</v>
      </c>
      <c r="F157" s="2" t="s">
        <v>375</v>
      </c>
      <c r="G157" t="s">
        <v>376</v>
      </c>
      <c r="H157">
        <v>3</v>
      </c>
      <c r="I157">
        <v>800</v>
      </c>
      <c r="J157">
        <v>75</v>
      </c>
      <c r="K157">
        <v>2325</v>
      </c>
      <c r="L157">
        <v>1410</v>
      </c>
      <c r="M157">
        <v>915</v>
      </c>
      <c r="N157" t="s">
        <v>579</v>
      </c>
      <c r="O157" t="s">
        <v>269</v>
      </c>
      <c r="P157" t="s">
        <v>13</v>
      </c>
      <c r="Q157" t="s">
        <v>574</v>
      </c>
      <c r="R157" s="14">
        <v>0.39354838709677398</v>
      </c>
    </row>
    <row r="158" spans="1:18" hidden="1" x14ac:dyDescent="0.3">
      <c r="A158" t="s">
        <v>733</v>
      </c>
      <c r="B158" s="1">
        <v>46120</v>
      </c>
      <c r="C158" t="s">
        <v>1231</v>
      </c>
      <c r="D158" t="s">
        <v>11</v>
      </c>
      <c r="E158" t="s">
        <v>400</v>
      </c>
      <c r="F158" s="2" t="s">
        <v>401</v>
      </c>
      <c r="G158" t="s">
        <v>384</v>
      </c>
      <c r="H158">
        <v>1</v>
      </c>
      <c r="I158">
        <v>950</v>
      </c>
      <c r="J158">
        <v>0</v>
      </c>
      <c r="K158">
        <v>950</v>
      </c>
      <c r="L158">
        <v>570</v>
      </c>
      <c r="M158">
        <v>380</v>
      </c>
      <c r="N158" t="s">
        <v>567</v>
      </c>
      <c r="O158" t="s">
        <v>269</v>
      </c>
      <c r="P158" t="s">
        <v>8</v>
      </c>
      <c r="Q158" t="s">
        <v>585</v>
      </c>
      <c r="R158" s="14">
        <v>0.4</v>
      </c>
    </row>
    <row r="159" spans="1:18" hidden="1" x14ac:dyDescent="0.3">
      <c r="A159" t="s">
        <v>734</v>
      </c>
      <c r="B159" s="1">
        <v>46026</v>
      </c>
      <c r="C159" t="s">
        <v>1234</v>
      </c>
      <c r="D159" t="s">
        <v>193</v>
      </c>
      <c r="E159" t="s">
        <v>350</v>
      </c>
      <c r="F159" s="2" t="s">
        <v>351</v>
      </c>
      <c r="G159" t="s">
        <v>352</v>
      </c>
      <c r="H159">
        <v>2</v>
      </c>
      <c r="I159">
        <v>900</v>
      </c>
      <c r="J159">
        <v>75</v>
      </c>
      <c r="K159">
        <v>1725</v>
      </c>
      <c r="L159">
        <v>1080</v>
      </c>
      <c r="M159">
        <v>645</v>
      </c>
      <c r="N159" t="s">
        <v>573</v>
      </c>
      <c r="O159" t="s">
        <v>269</v>
      </c>
      <c r="P159" t="s">
        <v>8</v>
      </c>
      <c r="Q159" t="s">
        <v>574</v>
      </c>
      <c r="R159" s="14">
        <v>0.37391304347826099</v>
      </c>
    </row>
    <row r="160" spans="1:18" hidden="1" x14ac:dyDescent="0.3">
      <c r="A160" t="s">
        <v>735</v>
      </c>
      <c r="B160" s="1">
        <v>46077</v>
      </c>
      <c r="C160" t="s">
        <v>1235</v>
      </c>
      <c r="D160" t="s">
        <v>205</v>
      </c>
      <c r="E160" t="s">
        <v>366</v>
      </c>
      <c r="F160" s="2" t="s">
        <v>367</v>
      </c>
      <c r="G160" t="s">
        <v>352</v>
      </c>
      <c r="H160">
        <v>2</v>
      </c>
      <c r="I160">
        <v>1500</v>
      </c>
      <c r="J160">
        <v>0</v>
      </c>
      <c r="K160">
        <v>3000</v>
      </c>
      <c r="L160">
        <v>1840</v>
      </c>
      <c r="M160">
        <v>1160</v>
      </c>
      <c r="N160" t="s">
        <v>579</v>
      </c>
      <c r="O160" t="s">
        <v>266</v>
      </c>
      <c r="P160" t="s">
        <v>8</v>
      </c>
      <c r="Q160" t="s">
        <v>568</v>
      </c>
      <c r="R160" s="14">
        <v>0.38666666666666699</v>
      </c>
    </row>
    <row r="161" spans="1:18" hidden="1" x14ac:dyDescent="0.3">
      <c r="A161" t="s">
        <v>736</v>
      </c>
      <c r="B161" s="1">
        <v>46249</v>
      </c>
      <c r="C161" t="s">
        <v>1236</v>
      </c>
      <c r="D161" t="s">
        <v>85</v>
      </c>
      <c r="E161" t="s">
        <v>366</v>
      </c>
      <c r="F161" s="2" t="s">
        <v>367</v>
      </c>
      <c r="G161" t="s">
        <v>352</v>
      </c>
      <c r="H161">
        <v>1</v>
      </c>
      <c r="I161">
        <v>1500</v>
      </c>
      <c r="J161">
        <v>100</v>
      </c>
      <c r="K161">
        <v>1400</v>
      </c>
      <c r="L161">
        <v>920</v>
      </c>
      <c r="M161">
        <v>480</v>
      </c>
      <c r="N161" t="s">
        <v>576</v>
      </c>
      <c r="O161" t="s">
        <v>269</v>
      </c>
      <c r="P161" t="s">
        <v>8</v>
      </c>
      <c r="Q161" t="s">
        <v>568</v>
      </c>
      <c r="R161" s="14">
        <v>0.34285714285714303</v>
      </c>
    </row>
    <row r="162" spans="1:18" hidden="1" x14ac:dyDescent="0.3">
      <c r="A162" t="s">
        <v>737</v>
      </c>
      <c r="B162" s="1">
        <v>46206</v>
      </c>
      <c r="C162" t="s">
        <v>1232</v>
      </c>
      <c r="D162" t="s">
        <v>223</v>
      </c>
      <c r="E162" t="s">
        <v>396</v>
      </c>
      <c r="F162" s="2" t="s">
        <v>397</v>
      </c>
      <c r="G162" t="s">
        <v>376</v>
      </c>
      <c r="H162">
        <v>1</v>
      </c>
      <c r="I162">
        <v>600</v>
      </c>
      <c r="J162">
        <v>50</v>
      </c>
      <c r="K162">
        <v>550</v>
      </c>
      <c r="L162">
        <v>350</v>
      </c>
      <c r="M162">
        <v>200</v>
      </c>
      <c r="N162" t="s">
        <v>573</v>
      </c>
      <c r="O162" t="s">
        <v>266</v>
      </c>
      <c r="P162" t="s">
        <v>8</v>
      </c>
      <c r="Q162" t="s">
        <v>568</v>
      </c>
      <c r="R162" s="14">
        <v>0.36363636363636398</v>
      </c>
    </row>
    <row r="163" spans="1:18" x14ac:dyDescent="0.3">
      <c r="A163" t="s">
        <v>738</v>
      </c>
      <c r="B163" s="1">
        <v>46199</v>
      </c>
      <c r="C163" t="s">
        <v>1233</v>
      </c>
      <c r="D163" t="s">
        <v>11</v>
      </c>
      <c r="E163" t="s">
        <v>360</v>
      </c>
      <c r="F163" s="2" t="s">
        <v>361</v>
      </c>
      <c r="G163" t="s">
        <v>362</v>
      </c>
      <c r="H163">
        <v>1</v>
      </c>
      <c r="I163">
        <v>1100</v>
      </c>
      <c r="J163">
        <v>50</v>
      </c>
      <c r="K163">
        <v>1050</v>
      </c>
      <c r="L163">
        <v>680</v>
      </c>
      <c r="M163">
        <v>370</v>
      </c>
      <c r="N163" t="s">
        <v>567</v>
      </c>
      <c r="O163" t="s">
        <v>266</v>
      </c>
      <c r="P163" t="s">
        <v>8</v>
      </c>
      <c r="Q163" t="s">
        <v>585</v>
      </c>
      <c r="R163" s="14">
        <v>0.35238095238095202</v>
      </c>
    </row>
    <row r="164" spans="1:18" hidden="1" x14ac:dyDescent="0.3">
      <c r="A164" t="s">
        <v>739</v>
      </c>
      <c r="B164" s="1">
        <v>46215</v>
      </c>
      <c r="C164" t="s">
        <v>1232</v>
      </c>
      <c r="D164" t="s">
        <v>113</v>
      </c>
      <c r="E164" t="s">
        <v>345</v>
      </c>
      <c r="F164" s="2" t="s">
        <v>346</v>
      </c>
      <c r="G164" t="s">
        <v>347</v>
      </c>
      <c r="H164">
        <v>1</v>
      </c>
      <c r="I164">
        <v>700</v>
      </c>
      <c r="J164">
        <v>0</v>
      </c>
      <c r="K164">
        <v>700</v>
      </c>
      <c r="L164">
        <v>410</v>
      </c>
      <c r="M164">
        <v>290</v>
      </c>
      <c r="N164" t="s">
        <v>573</v>
      </c>
      <c r="O164" t="s">
        <v>269</v>
      </c>
      <c r="P164" t="s">
        <v>13</v>
      </c>
      <c r="Q164" t="s">
        <v>568</v>
      </c>
      <c r="R164" s="14">
        <v>0.41428571428571398</v>
      </c>
    </row>
    <row r="165" spans="1:18" hidden="1" x14ac:dyDescent="0.3">
      <c r="A165" t="s">
        <v>740</v>
      </c>
      <c r="B165" s="1">
        <v>46083</v>
      </c>
      <c r="C165" t="s">
        <v>1230</v>
      </c>
      <c r="D165" t="s">
        <v>209</v>
      </c>
      <c r="E165" t="s">
        <v>355</v>
      </c>
      <c r="F165" s="2" t="s">
        <v>356</v>
      </c>
      <c r="G165" t="s">
        <v>343</v>
      </c>
      <c r="H165">
        <v>1</v>
      </c>
      <c r="I165">
        <v>550</v>
      </c>
      <c r="J165">
        <v>82.5</v>
      </c>
      <c r="K165">
        <v>467.5</v>
      </c>
      <c r="L165">
        <v>300</v>
      </c>
      <c r="M165">
        <v>167.5</v>
      </c>
      <c r="N165" t="s">
        <v>570</v>
      </c>
      <c r="O165" t="s">
        <v>266</v>
      </c>
      <c r="P165" t="s">
        <v>8</v>
      </c>
      <c r="Q165" t="s">
        <v>571</v>
      </c>
      <c r="R165" s="14">
        <v>0.35828877005347598</v>
      </c>
    </row>
    <row r="166" spans="1:18" hidden="1" x14ac:dyDescent="0.3">
      <c r="A166" t="s">
        <v>741</v>
      </c>
      <c r="B166" s="1">
        <v>46099</v>
      </c>
      <c r="C166" t="s">
        <v>1230</v>
      </c>
      <c r="D166" t="s">
        <v>203</v>
      </c>
      <c r="E166" t="s">
        <v>374</v>
      </c>
      <c r="F166" s="2" t="s">
        <v>375</v>
      </c>
      <c r="G166" t="s">
        <v>376</v>
      </c>
      <c r="H166">
        <v>3</v>
      </c>
      <c r="I166">
        <v>800</v>
      </c>
      <c r="J166">
        <v>20</v>
      </c>
      <c r="K166">
        <v>2380</v>
      </c>
      <c r="L166">
        <v>1410</v>
      </c>
      <c r="M166">
        <v>970</v>
      </c>
      <c r="N166" t="s">
        <v>573</v>
      </c>
      <c r="O166" t="s">
        <v>269</v>
      </c>
      <c r="P166" t="s">
        <v>18</v>
      </c>
      <c r="Q166" t="s">
        <v>568</v>
      </c>
      <c r="R166" s="14">
        <v>0.40756302521008397</v>
      </c>
    </row>
    <row r="167" spans="1:18" hidden="1" x14ac:dyDescent="0.3">
      <c r="A167" t="s">
        <v>742</v>
      </c>
      <c r="B167" s="1">
        <v>46259</v>
      </c>
      <c r="C167" t="s">
        <v>1236</v>
      </c>
      <c r="D167" t="s">
        <v>227</v>
      </c>
      <c r="E167" t="s">
        <v>366</v>
      </c>
      <c r="F167" s="2" t="s">
        <v>367</v>
      </c>
      <c r="G167" t="s">
        <v>352</v>
      </c>
      <c r="H167">
        <v>2</v>
      </c>
      <c r="I167">
        <v>1500</v>
      </c>
      <c r="J167">
        <v>50</v>
      </c>
      <c r="K167">
        <v>2950</v>
      </c>
      <c r="L167">
        <v>1840</v>
      </c>
      <c r="M167">
        <v>1110</v>
      </c>
      <c r="N167" t="s">
        <v>579</v>
      </c>
      <c r="O167" t="s">
        <v>269</v>
      </c>
      <c r="P167" t="s">
        <v>8</v>
      </c>
      <c r="Q167" t="s">
        <v>568</v>
      </c>
      <c r="R167" s="14">
        <v>0.37627118644067797</v>
      </c>
    </row>
    <row r="168" spans="1:18" hidden="1" x14ac:dyDescent="0.3">
      <c r="A168" t="s">
        <v>743</v>
      </c>
      <c r="B168" s="1">
        <v>46028</v>
      </c>
      <c r="C168" t="s">
        <v>1234</v>
      </c>
      <c r="D168" t="s">
        <v>16</v>
      </c>
      <c r="E168" t="s">
        <v>382</v>
      </c>
      <c r="F168" s="2" t="s">
        <v>383</v>
      </c>
      <c r="G168" t="s">
        <v>384</v>
      </c>
      <c r="H168">
        <v>1</v>
      </c>
      <c r="I168">
        <v>1200</v>
      </c>
      <c r="J168">
        <v>50</v>
      </c>
      <c r="K168">
        <v>1150</v>
      </c>
      <c r="L168">
        <v>730</v>
      </c>
      <c r="M168">
        <v>420</v>
      </c>
      <c r="N168" t="s">
        <v>567</v>
      </c>
      <c r="O168" t="s">
        <v>266</v>
      </c>
      <c r="P168" t="s">
        <v>18</v>
      </c>
      <c r="Q168" t="s">
        <v>568</v>
      </c>
      <c r="R168" s="14">
        <v>0.36521739130434799</v>
      </c>
    </row>
    <row r="169" spans="1:18" hidden="1" x14ac:dyDescent="0.3">
      <c r="A169" t="s">
        <v>744</v>
      </c>
      <c r="B169" s="1">
        <v>46083</v>
      </c>
      <c r="C169" t="s">
        <v>1230</v>
      </c>
      <c r="D169" t="s">
        <v>219</v>
      </c>
      <c r="E169" t="s">
        <v>382</v>
      </c>
      <c r="F169" s="2" t="s">
        <v>383</v>
      </c>
      <c r="G169" t="s">
        <v>384</v>
      </c>
      <c r="H169">
        <v>3</v>
      </c>
      <c r="I169">
        <v>1200</v>
      </c>
      <c r="J169">
        <v>100</v>
      </c>
      <c r="K169">
        <v>3500</v>
      </c>
      <c r="L169">
        <v>2190</v>
      </c>
      <c r="M169">
        <v>1310</v>
      </c>
      <c r="N169" t="s">
        <v>570</v>
      </c>
      <c r="O169" t="s">
        <v>266</v>
      </c>
      <c r="P169" t="s">
        <v>8</v>
      </c>
      <c r="Q169" t="s">
        <v>574</v>
      </c>
      <c r="R169" s="14">
        <v>0.374285714285714</v>
      </c>
    </row>
    <row r="170" spans="1:18" hidden="1" x14ac:dyDescent="0.3">
      <c r="A170" t="s">
        <v>745</v>
      </c>
      <c r="B170" s="1">
        <v>46035</v>
      </c>
      <c r="C170" t="s">
        <v>1234</v>
      </c>
      <c r="D170" t="s">
        <v>247</v>
      </c>
      <c r="E170" t="s">
        <v>400</v>
      </c>
      <c r="F170" s="2" t="s">
        <v>401</v>
      </c>
      <c r="G170" t="s">
        <v>384</v>
      </c>
      <c r="H170">
        <v>3</v>
      </c>
      <c r="I170">
        <v>950</v>
      </c>
      <c r="J170">
        <v>20</v>
      </c>
      <c r="K170">
        <v>2830</v>
      </c>
      <c r="L170">
        <v>1710</v>
      </c>
      <c r="M170">
        <v>1120</v>
      </c>
      <c r="N170" t="s">
        <v>567</v>
      </c>
      <c r="O170" t="s">
        <v>269</v>
      </c>
      <c r="P170" t="s">
        <v>13</v>
      </c>
      <c r="Q170" t="s">
        <v>574</v>
      </c>
      <c r="R170" s="14">
        <v>0.395759717314488</v>
      </c>
    </row>
    <row r="171" spans="1:18" hidden="1" x14ac:dyDescent="0.3">
      <c r="A171" t="s">
        <v>746</v>
      </c>
      <c r="B171" s="1">
        <v>46206</v>
      </c>
      <c r="C171" t="s">
        <v>1232</v>
      </c>
      <c r="D171" t="s">
        <v>141</v>
      </c>
      <c r="E171" t="s">
        <v>396</v>
      </c>
      <c r="F171" s="2" t="s">
        <v>397</v>
      </c>
      <c r="G171" t="s">
        <v>376</v>
      </c>
      <c r="H171">
        <v>3</v>
      </c>
      <c r="I171">
        <v>600</v>
      </c>
      <c r="J171">
        <v>20</v>
      </c>
      <c r="K171">
        <v>1780</v>
      </c>
      <c r="L171">
        <v>1050</v>
      </c>
      <c r="M171">
        <v>730</v>
      </c>
      <c r="N171" t="s">
        <v>570</v>
      </c>
      <c r="O171" t="s">
        <v>266</v>
      </c>
      <c r="P171" t="s">
        <v>13</v>
      </c>
      <c r="Q171" t="s">
        <v>585</v>
      </c>
      <c r="R171" s="14">
        <v>0.41011235955056202</v>
      </c>
    </row>
    <row r="172" spans="1:18" hidden="1" x14ac:dyDescent="0.3">
      <c r="A172" t="s">
        <v>747</v>
      </c>
      <c r="B172" s="1">
        <v>46229</v>
      </c>
      <c r="C172" t="s">
        <v>1232</v>
      </c>
      <c r="D172" t="s">
        <v>87</v>
      </c>
      <c r="E172" t="s">
        <v>382</v>
      </c>
      <c r="F172" s="2" t="s">
        <v>383</v>
      </c>
      <c r="G172" t="s">
        <v>384</v>
      </c>
      <c r="H172">
        <v>3</v>
      </c>
      <c r="I172">
        <v>1200</v>
      </c>
      <c r="J172">
        <v>0</v>
      </c>
      <c r="K172">
        <v>3600</v>
      </c>
      <c r="L172">
        <v>2190</v>
      </c>
      <c r="M172">
        <v>1410</v>
      </c>
      <c r="N172" t="s">
        <v>573</v>
      </c>
      <c r="O172" t="s">
        <v>269</v>
      </c>
      <c r="P172" t="s">
        <v>18</v>
      </c>
      <c r="Q172" t="s">
        <v>568</v>
      </c>
      <c r="R172" s="14">
        <v>0.391666666666667</v>
      </c>
    </row>
    <row r="173" spans="1:18" hidden="1" x14ac:dyDescent="0.3">
      <c r="A173" t="s">
        <v>748</v>
      </c>
      <c r="B173" s="1">
        <v>46155</v>
      </c>
      <c r="C173" t="s">
        <v>1237</v>
      </c>
      <c r="D173" t="s">
        <v>103</v>
      </c>
      <c r="E173" t="s">
        <v>400</v>
      </c>
      <c r="F173" s="2" t="s">
        <v>401</v>
      </c>
      <c r="G173" t="s">
        <v>384</v>
      </c>
      <c r="H173">
        <v>1</v>
      </c>
      <c r="I173">
        <v>950</v>
      </c>
      <c r="J173">
        <v>0</v>
      </c>
      <c r="K173">
        <v>950</v>
      </c>
      <c r="L173">
        <v>570</v>
      </c>
      <c r="M173">
        <v>380</v>
      </c>
      <c r="N173" t="s">
        <v>579</v>
      </c>
      <c r="O173" t="s">
        <v>266</v>
      </c>
      <c r="P173" t="s">
        <v>8</v>
      </c>
      <c r="Q173" t="s">
        <v>571</v>
      </c>
      <c r="R173" s="14">
        <v>0.4</v>
      </c>
    </row>
    <row r="174" spans="1:18" hidden="1" x14ac:dyDescent="0.3">
      <c r="A174" t="s">
        <v>749</v>
      </c>
      <c r="B174" s="1">
        <v>46136</v>
      </c>
      <c r="C174" t="s">
        <v>1231</v>
      </c>
      <c r="D174" t="s">
        <v>87</v>
      </c>
      <c r="E174" t="s">
        <v>366</v>
      </c>
      <c r="F174" s="2" t="s">
        <v>367</v>
      </c>
      <c r="G174" t="s">
        <v>352</v>
      </c>
      <c r="H174">
        <v>3</v>
      </c>
      <c r="I174">
        <v>1500</v>
      </c>
      <c r="J174">
        <v>100</v>
      </c>
      <c r="K174">
        <v>4400</v>
      </c>
      <c r="L174">
        <v>2760</v>
      </c>
      <c r="M174">
        <v>1640</v>
      </c>
      <c r="N174" t="s">
        <v>567</v>
      </c>
      <c r="O174" t="s">
        <v>266</v>
      </c>
      <c r="P174" t="s">
        <v>8</v>
      </c>
      <c r="Q174" t="s">
        <v>574</v>
      </c>
      <c r="R174" s="14">
        <v>0.37272727272727302</v>
      </c>
    </row>
    <row r="175" spans="1:18" hidden="1" x14ac:dyDescent="0.3">
      <c r="A175" t="s">
        <v>750</v>
      </c>
      <c r="B175" s="1">
        <v>46062</v>
      </c>
      <c r="C175" t="s">
        <v>1235</v>
      </c>
      <c r="D175" t="s">
        <v>189</v>
      </c>
      <c r="E175" t="s">
        <v>369</v>
      </c>
      <c r="F175" s="2" t="s">
        <v>370</v>
      </c>
      <c r="G175" t="s">
        <v>371</v>
      </c>
      <c r="H175">
        <v>2</v>
      </c>
      <c r="I175">
        <v>1450</v>
      </c>
      <c r="J175">
        <v>50</v>
      </c>
      <c r="K175">
        <v>2850</v>
      </c>
      <c r="L175">
        <v>1800</v>
      </c>
      <c r="M175">
        <v>1050</v>
      </c>
      <c r="N175" t="s">
        <v>567</v>
      </c>
      <c r="O175" t="s">
        <v>269</v>
      </c>
      <c r="P175" t="s">
        <v>13</v>
      </c>
      <c r="Q175" t="s">
        <v>585</v>
      </c>
      <c r="R175" s="14">
        <v>0.36842105263157898</v>
      </c>
    </row>
    <row r="176" spans="1:18" hidden="1" x14ac:dyDescent="0.3">
      <c r="A176" t="s">
        <v>751</v>
      </c>
      <c r="B176" s="1">
        <v>46081</v>
      </c>
      <c r="C176" t="s">
        <v>1235</v>
      </c>
      <c r="D176" t="s">
        <v>125</v>
      </c>
      <c r="E176" t="s">
        <v>415</v>
      </c>
      <c r="F176" s="2" t="s">
        <v>416</v>
      </c>
      <c r="G176" t="s">
        <v>347</v>
      </c>
      <c r="H176">
        <v>3</v>
      </c>
      <c r="I176">
        <v>1250</v>
      </c>
      <c r="J176">
        <v>0</v>
      </c>
      <c r="K176">
        <v>3750</v>
      </c>
      <c r="L176">
        <v>2280</v>
      </c>
      <c r="M176">
        <v>1470</v>
      </c>
      <c r="N176" t="s">
        <v>573</v>
      </c>
      <c r="O176" t="s">
        <v>269</v>
      </c>
      <c r="P176" t="s">
        <v>18</v>
      </c>
      <c r="Q176" t="s">
        <v>568</v>
      </c>
      <c r="R176" s="14">
        <v>0.39200000000000002</v>
      </c>
    </row>
    <row r="177" spans="1:18" hidden="1" x14ac:dyDescent="0.3">
      <c r="A177" t="s">
        <v>752</v>
      </c>
      <c r="B177" s="1">
        <v>46188</v>
      </c>
      <c r="C177" t="s">
        <v>1233</v>
      </c>
      <c r="D177" t="s">
        <v>127</v>
      </c>
      <c r="E177" t="s">
        <v>341</v>
      </c>
      <c r="F177" s="2" t="s">
        <v>342</v>
      </c>
      <c r="G177" t="s">
        <v>343</v>
      </c>
      <c r="H177">
        <v>2</v>
      </c>
      <c r="I177">
        <v>750</v>
      </c>
      <c r="J177">
        <v>50</v>
      </c>
      <c r="K177">
        <v>1450</v>
      </c>
      <c r="L177">
        <v>860</v>
      </c>
      <c r="M177">
        <v>590</v>
      </c>
      <c r="N177" t="s">
        <v>567</v>
      </c>
      <c r="O177" t="s">
        <v>269</v>
      </c>
      <c r="P177" t="s">
        <v>13</v>
      </c>
      <c r="Q177" t="s">
        <v>585</v>
      </c>
      <c r="R177" s="14">
        <v>0.40689655172413802</v>
      </c>
    </row>
    <row r="178" spans="1:18" hidden="1" x14ac:dyDescent="0.3">
      <c r="A178" t="s">
        <v>753</v>
      </c>
      <c r="B178" s="1">
        <v>46182</v>
      </c>
      <c r="C178" t="s">
        <v>1233</v>
      </c>
      <c r="D178" t="s">
        <v>221</v>
      </c>
      <c r="E178" t="s">
        <v>415</v>
      </c>
      <c r="F178" s="2" t="s">
        <v>416</v>
      </c>
      <c r="G178" t="s">
        <v>347</v>
      </c>
      <c r="H178">
        <v>3</v>
      </c>
      <c r="I178">
        <v>1250</v>
      </c>
      <c r="J178">
        <v>0</v>
      </c>
      <c r="K178">
        <v>3750</v>
      </c>
      <c r="L178">
        <v>2280</v>
      </c>
      <c r="M178">
        <v>1470</v>
      </c>
      <c r="N178" t="s">
        <v>567</v>
      </c>
      <c r="O178" t="s">
        <v>266</v>
      </c>
      <c r="P178" t="s">
        <v>18</v>
      </c>
      <c r="Q178" t="s">
        <v>568</v>
      </c>
      <c r="R178" s="14">
        <v>0.39200000000000002</v>
      </c>
    </row>
    <row r="179" spans="1:18" hidden="1" x14ac:dyDescent="0.3">
      <c r="A179" t="s">
        <v>754</v>
      </c>
      <c r="B179" s="1">
        <v>46034</v>
      </c>
      <c r="C179" t="s">
        <v>1234</v>
      </c>
      <c r="D179" t="s">
        <v>85</v>
      </c>
      <c r="E179" t="s">
        <v>355</v>
      </c>
      <c r="F179" s="2" t="s">
        <v>356</v>
      </c>
      <c r="G179" t="s">
        <v>343</v>
      </c>
      <c r="H179">
        <v>2</v>
      </c>
      <c r="I179">
        <v>550</v>
      </c>
      <c r="J179">
        <v>50</v>
      </c>
      <c r="K179">
        <v>1050</v>
      </c>
      <c r="L179">
        <v>600</v>
      </c>
      <c r="M179">
        <v>450</v>
      </c>
      <c r="N179" t="s">
        <v>579</v>
      </c>
      <c r="O179" t="s">
        <v>266</v>
      </c>
      <c r="P179" t="s">
        <v>13</v>
      </c>
      <c r="Q179" t="s">
        <v>574</v>
      </c>
      <c r="R179" s="14">
        <v>0.42857142857142899</v>
      </c>
    </row>
    <row r="180" spans="1:18" hidden="1" x14ac:dyDescent="0.3">
      <c r="A180" t="s">
        <v>755</v>
      </c>
      <c r="B180" s="1">
        <v>46120</v>
      </c>
      <c r="C180" t="s">
        <v>1231</v>
      </c>
      <c r="D180" t="s">
        <v>127</v>
      </c>
      <c r="E180" t="s">
        <v>387</v>
      </c>
      <c r="F180" s="2" t="s">
        <v>388</v>
      </c>
      <c r="G180" t="s">
        <v>347</v>
      </c>
      <c r="H180">
        <v>2</v>
      </c>
      <c r="I180">
        <v>850</v>
      </c>
      <c r="J180">
        <v>0</v>
      </c>
      <c r="K180">
        <v>1700</v>
      </c>
      <c r="L180">
        <v>1040</v>
      </c>
      <c r="M180">
        <v>660</v>
      </c>
      <c r="N180" t="s">
        <v>567</v>
      </c>
      <c r="O180" t="s">
        <v>269</v>
      </c>
      <c r="P180" t="s">
        <v>8</v>
      </c>
      <c r="Q180" t="s">
        <v>568</v>
      </c>
      <c r="R180" s="14">
        <v>0.38823529411764701</v>
      </c>
    </row>
    <row r="181" spans="1:18" x14ac:dyDescent="0.3">
      <c r="A181" t="s">
        <v>756</v>
      </c>
      <c r="B181" s="1">
        <v>46085</v>
      </c>
      <c r="C181" t="s">
        <v>1230</v>
      </c>
      <c r="D181" t="s">
        <v>63</v>
      </c>
      <c r="E181" t="s">
        <v>360</v>
      </c>
      <c r="F181" s="2" t="s">
        <v>361</v>
      </c>
      <c r="G181" t="s">
        <v>362</v>
      </c>
      <c r="H181">
        <v>1</v>
      </c>
      <c r="I181">
        <v>1100</v>
      </c>
      <c r="J181">
        <v>100</v>
      </c>
      <c r="K181">
        <v>1000</v>
      </c>
      <c r="L181">
        <v>680</v>
      </c>
      <c r="M181">
        <v>320</v>
      </c>
      <c r="N181" t="s">
        <v>576</v>
      </c>
      <c r="O181" t="s">
        <v>269</v>
      </c>
      <c r="P181" t="s">
        <v>8</v>
      </c>
      <c r="Q181" t="s">
        <v>585</v>
      </c>
      <c r="R181" s="14">
        <v>0.32</v>
      </c>
    </row>
    <row r="182" spans="1:18" x14ac:dyDescent="0.3">
      <c r="A182" t="s">
        <v>757</v>
      </c>
      <c r="B182" s="1">
        <v>46264</v>
      </c>
      <c r="C182" t="s">
        <v>1236</v>
      </c>
      <c r="D182" t="s">
        <v>143</v>
      </c>
      <c r="E182" t="s">
        <v>419</v>
      </c>
      <c r="F182" s="2" t="s">
        <v>420</v>
      </c>
      <c r="G182" t="s">
        <v>362</v>
      </c>
      <c r="H182">
        <v>3</v>
      </c>
      <c r="I182">
        <v>1350</v>
      </c>
      <c r="J182">
        <v>50</v>
      </c>
      <c r="K182">
        <v>4000</v>
      </c>
      <c r="L182">
        <v>2550</v>
      </c>
      <c r="M182">
        <v>1450</v>
      </c>
      <c r="N182" t="s">
        <v>570</v>
      </c>
      <c r="O182" t="s">
        <v>266</v>
      </c>
      <c r="P182" t="s">
        <v>13</v>
      </c>
      <c r="Q182" t="s">
        <v>585</v>
      </c>
      <c r="R182" s="14">
        <v>0.36249999999999999</v>
      </c>
    </row>
    <row r="183" spans="1:18" hidden="1" x14ac:dyDescent="0.3">
      <c r="A183" t="s">
        <v>758</v>
      </c>
      <c r="B183" s="1">
        <v>46240</v>
      </c>
      <c r="C183" t="s">
        <v>1236</v>
      </c>
      <c r="D183" t="s">
        <v>247</v>
      </c>
      <c r="E183" t="s">
        <v>387</v>
      </c>
      <c r="F183" s="2" t="s">
        <v>388</v>
      </c>
      <c r="G183" t="s">
        <v>347</v>
      </c>
      <c r="H183">
        <v>2</v>
      </c>
      <c r="I183">
        <v>850</v>
      </c>
      <c r="J183">
        <v>0</v>
      </c>
      <c r="K183">
        <v>1700</v>
      </c>
      <c r="L183">
        <v>1040</v>
      </c>
      <c r="M183">
        <v>660</v>
      </c>
      <c r="N183" t="s">
        <v>570</v>
      </c>
      <c r="O183" t="s">
        <v>266</v>
      </c>
      <c r="P183" t="s">
        <v>8</v>
      </c>
      <c r="Q183" t="s">
        <v>571</v>
      </c>
      <c r="R183" s="14">
        <v>0.38823529411764701</v>
      </c>
    </row>
    <row r="184" spans="1:18" hidden="1" x14ac:dyDescent="0.3">
      <c r="A184" t="s">
        <v>759</v>
      </c>
      <c r="B184" s="1">
        <v>46249</v>
      </c>
      <c r="C184" t="s">
        <v>1236</v>
      </c>
      <c r="D184" t="s">
        <v>111</v>
      </c>
      <c r="E184" t="s">
        <v>374</v>
      </c>
      <c r="F184" s="2" t="s">
        <v>375</v>
      </c>
      <c r="G184" t="s">
        <v>376</v>
      </c>
      <c r="H184">
        <v>4</v>
      </c>
      <c r="I184">
        <v>800</v>
      </c>
      <c r="J184">
        <v>50</v>
      </c>
      <c r="K184">
        <v>3150</v>
      </c>
      <c r="L184">
        <v>1880</v>
      </c>
      <c r="M184">
        <v>1270</v>
      </c>
      <c r="N184" t="s">
        <v>567</v>
      </c>
      <c r="O184" t="s">
        <v>266</v>
      </c>
      <c r="P184" t="s">
        <v>18</v>
      </c>
      <c r="Q184" t="s">
        <v>568</v>
      </c>
      <c r="R184" s="14">
        <v>0.40317460317460302</v>
      </c>
    </row>
    <row r="185" spans="1:18" hidden="1" x14ac:dyDescent="0.3">
      <c r="A185" t="s">
        <v>760</v>
      </c>
      <c r="B185" s="1">
        <v>46201</v>
      </c>
      <c r="C185" t="s">
        <v>1233</v>
      </c>
      <c r="D185" t="s">
        <v>157</v>
      </c>
      <c r="E185" t="s">
        <v>387</v>
      </c>
      <c r="F185" s="2" t="s">
        <v>388</v>
      </c>
      <c r="G185" t="s">
        <v>347</v>
      </c>
      <c r="H185">
        <v>1</v>
      </c>
      <c r="I185">
        <v>850</v>
      </c>
      <c r="J185">
        <v>20</v>
      </c>
      <c r="K185">
        <v>830</v>
      </c>
      <c r="L185">
        <v>520</v>
      </c>
      <c r="M185">
        <v>310</v>
      </c>
      <c r="N185" t="s">
        <v>579</v>
      </c>
      <c r="O185" t="s">
        <v>269</v>
      </c>
      <c r="P185" t="s">
        <v>8</v>
      </c>
      <c r="Q185" t="s">
        <v>568</v>
      </c>
      <c r="R185" s="14">
        <v>0.373493975903614</v>
      </c>
    </row>
    <row r="186" spans="1:18" hidden="1" x14ac:dyDescent="0.3">
      <c r="A186" t="s">
        <v>761</v>
      </c>
      <c r="B186" s="1">
        <v>46163</v>
      </c>
      <c r="C186" t="s">
        <v>1237</v>
      </c>
      <c r="D186" t="s">
        <v>217</v>
      </c>
      <c r="E186" t="s">
        <v>345</v>
      </c>
      <c r="F186" s="2" t="s">
        <v>346</v>
      </c>
      <c r="G186" t="s">
        <v>347</v>
      </c>
      <c r="H186">
        <v>4</v>
      </c>
      <c r="I186">
        <v>700</v>
      </c>
      <c r="J186">
        <v>20</v>
      </c>
      <c r="K186">
        <v>2780</v>
      </c>
      <c r="L186">
        <v>1640</v>
      </c>
      <c r="M186">
        <v>1140</v>
      </c>
      <c r="N186" t="s">
        <v>567</v>
      </c>
      <c r="O186" t="s">
        <v>269</v>
      </c>
      <c r="P186" t="s">
        <v>18</v>
      </c>
      <c r="Q186" t="s">
        <v>568</v>
      </c>
      <c r="R186" s="14">
        <v>0.410071942446043</v>
      </c>
    </row>
    <row r="187" spans="1:18" hidden="1" x14ac:dyDescent="0.3">
      <c r="A187" t="s">
        <v>762</v>
      </c>
      <c r="B187" s="1">
        <v>46225</v>
      </c>
      <c r="C187" t="s">
        <v>1232</v>
      </c>
      <c r="D187" t="s">
        <v>61</v>
      </c>
      <c r="E187" t="s">
        <v>345</v>
      </c>
      <c r="F187" s="2" t="s">
        <v>346</v>
      </c>
      <c r="G187" t="s">
        <v>347</v>
      </c>
      <c r="H187">
        <v>2</v>
      </c>
      <c r="I187">
        <v>700</v>
      </c>
      <c r="J187">
        <v>0</v>
      </c>
      <c r="K187">
        <v>1400</v>
      </c>
      <c r="L187">
        <v>820</v>
      </c>
      <c r="M187">
        <v>580</v>
      </c>
      <c r="N187" t="s">
        <v>570</v>
      </c>
      <c r="O187" t="s">
        <v>269</v>
      </c>
      <c r="P187" t="s">
        <v>8</v>
      </c>
      <c r="Q187" t="s">
        <v>568</v>
      </c>
      <c r="R187" s="14">
        <v>0.41428571428571398</v>
      </c>
    </row>
    <row r="188" spans="1:18" hidden="1" x14ac:dyDescent="0.3">
      <c r="A188" t="s">
        <v>763</v>
      </c>
      <c r="B188" s="1">
        <v>46123</v>
      </c>
      <c r="C188" t="s">
        <v>1231</v>
      </c>
      <c r="D188" t="s">
        <v>125</v>
      </c>
      <c r="E188" t="s">
        <v>350</v>
      </c>
      <c r="F188" s="2" t="s">
        <v>351</v>
      </c>
      <c r="G188" t="s">
        <v>352</v>
      </c>
      <c r="H188">
        <v>2</v>
      </c>
      <c r="I188">
        <v>900</v>
      </c>
      <c r="J188">
        <v>75</v>
      </c>
      <c r="K188">
        <v>1725</v>
      </c>
      <c r="L188">
        <v>1080</v>
      </c>
      <c r="M188">
        <v>645</v>
      </c>
      <c r="N188" t="s">
        <v>576</v>
      </c>
      <c r="O188" t="s">
        <v>266</v>
      </c>
      <c r="P188" t="s">
        <v>18</v>
      </c>
      <c r="Q188" t="s">
        <v>568</v>
      </c>
      <c r="R188" s="14">
        <v>0.37391304347826099</v>
      </c>
    </row>
    <row r="189" spans="1:18" hidden="1" x14ac:dyDescent="0.3">
      <c r="A189" t="s">
        <v>764</v>
      </c>
      <c r="B189" s="1">
        <v>46188</v>
      </c>
      <c r="C189" t="s">
        <v>1233</v>
      </c>
      <c r="D189" t="s">
        <v>37</v>
      </c>
      <c r="E189" t="s">
        <v>415</v>
      </c>
      <c r="F189" s="2" t="s">
        <v>416</v>
      </c>
      <c r="G189" t="s">
        <v>347</v>
      </c>
      <c r="H189">
        <v>1</v>
      </c>
      <c r="I189">
        <v>1250</v>
      </c>
      <c r="J189">
        <v>0</v>
      </c>
      <c r="K189">
        <v>1250</v>
      </c>
      <c r="L189">
        <v>760</v>
      </c>
      <c r="M189">
        <v>490</v>
      </c>
      <c r="N189" t="s">
        <v>579</v>
      </c>
      <c r="O189" t="s">
        <v>269</v>
      </c>
      <c r="P189" t="s">
        <v>18</v>
      </c>
      <c r="Q189" t="s">
        <v>568</v>
      </c>
      <c r="R189" s="14">
        <v>0.39200000000000002</v>
      </c>
    </row>
    <row r="190" spans="1:18" hidden="1" x14ac:dyDescent="0.3">
      <c r="A190" t="s">
        <v>765</v>
      </c>
      <c r="B190" s="1">
        <v>46258</v>
      </c>
      <c r="C190" t="s">
        <v>1236</v>
      </c>
      <c r="D190" t="s">
        <v>167</v>
      </c>
      <c r="E190" t="s">
        <v>382</v>
      </c>
      <c r="F190" s="2" t="s">
        <v>383</v>
      </c>
      <c r="G190" t="s">
        <v>384</v>
      </c>
      <c r="H190">
        <v>2</v>
      </c>
      <c r="I190">
        <v>1200</v>
      </c>
      <c r="J190">
        <v>20</v>
      </c>
      <c r="K190">
        <v>2380</v>
      </c>
      <c r="L190">
        <v>1460</v>
      </c>
      <c r="M190">
        <v>920</v>
      </c>
      <c r="N190" t="s">
        <v>570</v>
      </c>
      <c r="O190" t="s">
        <v>266</v>
      </c>
      <c r="P190" t="s">
        <v>8</v>
      </c>
      <c r="Q190" t="s">
        <v>568</v>
      </c>
      <c r="R190" s="14">
        <v>0.38655462184874001</v>
      </c>
    </row>
    <row r="191" spans="1:18" hidden="1" x14ac:dyDescent="0.3">
      <c r="A191" t="s">
        <v>766</v>
      </c>
      <c r="B191" s="1">
        <v>46196</v>
      </c>
      <c r="C191" t="s">
        <v>1233</v>
      </c>
      <c r="D191" t="s">
        <v>107</v>
      </c>
      <c r="E191" t="s">
        <v>366</v>
      </c>
      <c r="F191" s="2" t="s">
        <v>367</v>
      </c>
      <c r="G191" t="s">
        <v>352</v>
      </c>
      <c r="H191">
        <v>2</v>
      </c>
      <c r="I191">
        <v>1500</v>
      </c>
      <c r="J191">
        <v>50</v>
      </c>
      <c r="K191">
        <v>2950</v>
      </c>
      <c r="L191">
        <v>1840</v>
      </c>
      <c r="M191">
        <v>1110</v>
      </c>
      <c r="N191" t="s">
        <v>576</v>
      </c>
      <c r="O191" t="s">
        <v>269</v>
      </c>
      <c r="P191" t="s">
        <v>18</v>
      </c>
      <c r="Q191" t="s">
        <v>585</v>
      </c>
      <c r="R191" s="14">
        <v>0.37627118644067797</v>
      </c>
    </row>
    <row r="192" spans="1:18" hidden="1" x14ac:dyDescent="0.3">
      <c r="A192" t="s">
        <v>767</v>
      </c>
      <c r="B192" s="1">
        <v>46153</v>
      </c>
      <c r="C192" t="s">
        <v>1237</v>
      </c>
      <c r="D192" t="s">
        <v>47</v>
      </c>
      <c r="E192" t="s">
        <v>350</v>
      </c>
      <c r="F192" s="2" t="s">
        <v>351</v>
      </c>
      <c r="G192" t="s">
        <v>352</v>
      </c>
      <c r="H192">
        <v>1</v>
      </c>
      <c r="I192">
        <v>900</v>
      </c>
      <c r="J192">
        <v>100</v>
      </c>
      <c r="K192">
        <v>800</v>
      </c>
      <c r="L192">
        <v>540</v>
      </c>
      <c r="M192">
        <v>260</v>
      </c>
      <c r="N192" t="s">
        <v>573</v>
      </c>
      <c r="O192" t="s">
        <v>266</v>
      </c>
      <c r="P192" t="s">
        <v>8</v>
      </c>
      <c r="Q192" t="s">
        <v>574</v>
      </c>
      <c r="R192" s="14">
        <v>0.32500000000000001</v>
      </c>
    </row>
    <row r="193" spans="1:18" hidden="1" x14ac:dyDescent="0.3">
      <c r="A193" t="s">
        <v>768</v>
      </c>
      <c r="B193" s="1">
        <v>46188</v>
      </c>
      <c r="C193" t="s">
        <v>1233</v>
      </c>
      <c r="D193" t="s">
        <v>103</v>
      </c>
      <c r="E193" t="s">
        <v>396</v>
      </c>
      <c r="F193" s="2" t="s">
        <v>397</v>
      </c>
      <c r="G193" t="s">
        <v>376</v>
      </c>
      <c r="H193">
        <v>2</v>
      </c>
      <c r="I193">
        <v>600</v>
      </c>
      <c r="J193">
        <v>20</v>
      </c>
      <c r="K193">
        <v>1180</v>
      </c>
      <c r="L193">
        <v>700</v>
      </c>
      <c r="M193">
        <v>480</v>
      </c>
      <c r="N193" t="s">
        <v>573</v>
      </c>
      <c r="O193" t="s">
        <v>266</v>
      </c>
      <c r="P193" t="s">
        <v>18</v>
      </c>
      <c r="Q193" t="s">
        <v>574</v>
      </c>
      <c r="R193" s="14">
        <v>0.40677966101694901</v>
      </c>
    </row>
    <row r="194" spans="1:18" hidden="1" x14ac:dyDescent="0.3">
      <c r="A194" t="s">
        <v>769</v>
      </c>
      <c r="B194" s="1">
        <v>46161</v>
      </c>
      <c r="C194" t="s">
        <v>1237</v>
      </c>
      <c r="D194" t="s">
        <v>135</v>
      </c>
      <c r="E194" t="s">
        <v>341</v>
      </c>
      <c r="F194" s="2" t="s">
        <v>342</v>
      </c>
      <c r="G194" t="s">
        <v>343</v>
      </c>
      <c r="H194">
        <v>1</v>
      </c>
      <c r="I194">
        <v>750</v>
      </c>
      <c r="J194">
        <v>50</v>
      </c>
      <c r="K194">
        <v>700</v>
      </c>
      <c r="L194">
        <v>430</v>
      </c>
      <c r="M194">
        <v>270</v>
      </c>
      <c r="N194" t="s">
        <v>567</v>
      </c>
      <c r="O194" t="s">
        <v>269</v>
      </c>
      <c r="P194" t="s">
        <v>13</v>
      </c>
      <c r="Q194" t="s">
        <v>568</v>
      </c>
      <c r="R194" s="14">
        <v>0.38571428571428601</v>
      </c>
    </row>
    <row r="195" spans="1:18" hidden="1" x14ac:dyDescent="0.3">
      <c r="A195" t="s">
        <v>770</v>
      </c>
      <c r="B195" s="1">
        <v>46054</v>
      </c>
      <c r="C195" t="s">
        <v>1235</v>
      </c>
      <c r="D195" t="s">
        <v>29</v>
      </c>
      <c r="E195" t="s">
        <v>345</v>
      </c>
      <c r="F195" s="2" t="s">
        <v>346</v>
      </c>
      <c r="G195" t="s">
        <v>347</v>
      </c>
      <c r="H195">
        <v>1</v>
      </c>
      <c r="I195">
        <v>700</v>
      </c>
      <c r="J195">
        <v>50</v>
      </c>
      <c r="K195">
        <v>650</v>
      </c>
      <c r="L195">
        <v>410</v>
      </c>
      <c r="M195">
        <v>240</v>
      </c>
      <c r="N195" t="s">
        <v>567</v>
      </c>
      <c r="O195" t="s">
        <v>269</v>
      </c>
      <c r="P195" t="s">
        <v>13</v>
      </c>
      <c r="Q195" t="s">
        <v>571</v>
      </c>
      <c r="R195" s="14">
        <v>0.36923076923076897</v>
      </c>
    </row>
    <row r="196" spans="1:18" hidden="1" x14ac:dyDescent="0.3">
      <c r="A196" t="s">
        <v>771</v>
      </c>
      <c r="B196" s="1">
        <v>46110</v>
      </c>
      <c r="C196" t="s">
        <v>1230</v>
      </c>
      <c r="D196" t="s">
        <v>89</v>
      </c>
      <c r="E196" t="s">
        <v>382</v>
      </c>
      <c r="F196" s="2" t="s">
        <v>383</v>
      </c>
      <c r="G196" t="s">
        <v>384</v>
      </c>
      <c r="H196">
        <v>1</v>
      </c>
      <c r="I196">
        <v>1200</v>
      </c>
      <c r="J196">
        <v>20</v>
      </c>
      <c r="K196">
        <v>1180</v>
      </c>
      <c r="L196">
        <v>730</v>
      </c>
      <c r="M196">
        <v>450</v>
      </c>
      <c r="N196" t="s">
        <v>573</v>
      </c>
      <c r="O196" t="s">
        <v>266</v>
      </c>
      <c r="P196" t="s">
        <v>13</v>
      </c>
      <c r="Q196" t="s">
        <v>574</v>
      </c>
      <c r="R196" s="14">
        <v>0.38135593220338998</v>
      </c>
    </row>
    <row r="197" spans="1:18" hidden="1" x14ac:dyDescent="0.3">
      <c r="A197" t="s">
        <v>772</v>
      </c>
      <c r="B197" s="1">
        <v>46170</v>
      </c>
      <c r="C197" t="s">
        <v>1237</v>
      </c>
      <c r="D197" t="s">
        <v>73</v>
      </c>
      <c r="E197" t="s">
        <v>374</v>
      </c>
      <c r="F197" s="2" t="s">
        <v>375</v>
      </c>
      <c r="G197" t="s">
        <v>376</v>
      </c>
      <c r="H197">
        <v>1</v>
      </c>
      <c r="I197">
        <v>800</v>
      </c>
      <c r="J197">
        <v>50</v>
      </c>
      <c r="K197">
        <v>750</v>
      </c>
      <c r="L197">
        <v>470</v>
      </c>
      <c r="M197">
        <v>280</v>
      </c>
      <c r="N197" t="s">
        <v>579</v>
      </c>
      <c r="O197" t="s">
        <v>266</v>
      </c>
      <c r="P197" t="s">
        <v>8</v>
      </c>
      <c r="Q197" t="s">
        <v>568</v>
      </c>
      <c r="R197" s="14">
        <v>0.37333333333333302</v>
      </c>
    </row>
    <row r="198" spans="1:18" hidden="1" x14ac:dyDescent="0.3">
      <c r="A198" t="s">
        <v>773</v>
      </c>
      <c r="B198" s="1">
        <v>46180</v>
      </c>
      <c r="C198" t="s">
        <v>1233</v>
      </c>
      <c r="D198" t="s">
        <v>73</v>
      </c>
      <c r="E198" t="s">
        <v>345</v>
      </c>
      <c r="F198" s="2" t="s">
        <v>346</v>
      </c>
      <c r="G198" t="s">
        <v>347</v>
      </c>
      <c r="H198">
        <v>1</v>
      </c>
      <c r="I198">
        <v>700</v>
      </c>
      <c r="J198">
        <v>75</v>
      </c>
      <c r="K198">
        <v>625</v>
      </c>
      <c r="L198">
        <v>410</v>
      </c>
      <c r="M198">
        <v>215</v>
      </c>
      <c r="N198" t="s">
        <v>567</v>
      </c>
      <c r="O198" t="s">
        <v>266</v>
      </c>
      <c r="P198" t="s">
        <v>8</v>
      </c>
      <c r="Q198" t="s">
        <v>568</v>
      </c>
      <c r="R198" s="14">
        <v>0.34399999999999997</v>
      </c>
    </row>
    <row r="199" spans="1:18" hidden="1" x14ac:dyDescent="0.3">
      <c r="A199" t="s">
        <v>774</v>
      </c>
      <c r="B199" s="1">
        <v>46144</v>
      </c>
      <c r="C199" t="s">
        <v>1237</v>
      </c>
      <c r="D199" t="s">
        <v>235</v>
      </c>
      <c r="E199" t="s">
        <v>345</v>
      </c>
      <c r="F199" s="2" t="s">
        <v>346</v>
      </c>
      <c r="G199" t="s">
        <v>347</v>
      </c>
      <c r="H199">
        <v>4</v>
      </c>
      <c r="I199">
        <v>700</v>
      </c>
      <c r="J199">
        <v>0</v>
      </c>
      <c r="K199">
        <v>2800</v>
      </c>
      <c r="L199">
        <v>1640</v>
      </c>
      <c r="M199">
        <v>1160</v>
      </c>
      <c r="N199" t="s">
        <v>579</v>
      </c>
      <c r="O199" t="s">
        <v>266</v>
      </c>
      <c r="P199" t="s">
        <v>18</v>
      </c>
      <c r="Q199" t="s">
        <v>574</v>
      </c>
      <c r="R199" s="14">
        <v>0.41428571428571398</v>
      </c>
    </row>
    <row r="200" spans="1:18" hidden="1" x14ac:dyDescent="0.3">
      <c r="A200" t="s">
        <v>775</v>
      </c>
      <c r="B200" s="1">
        <v>46156</v>
      </c>
      <c r="C200" t="s">
        <v>1237</v>
      </c>
      <c r="D200" t="s">
        <v>25</v>
      </c>
      <c r="E200" t="s">
        <v>400</v>
      </c>
      <c r="F200" s="2" t="s">
        <v>401</v>
      </c>
      <c r="G200" t="s">
        <v>384</v>
      </c>
      <c r="H200">
        <v>2</v>
      </c>
      <c r="I200">
        <v>950</v>
      </c>
      <c r="J200">
        <v>50</v>
      </c>
      <c r="K200">
        <v>1850</v>
      </c>
      <c r="L200">
        <v>1140</v>
      </c>
      <c r="M200">
        <v>710</v>
      </c>
      <c r="N200" t="s">
        <v>573</v>
      </c>
      <c r="O200" t="s">
        <v>269</v>
      </c>
      <c r="P200" t="s">
        <v>18</v>
      </c>
      <c r="Q200" t="s">
        <v>574</v>
      </c>
      <c r="R200" s="14">
        <v>0.38378378378378403</v>
      </c>
    </row>
    <row r="201" spans="1:18" hidden="1" x14ac:dyDescent="0.3">
      <c r="A201" t="s">
        <v>776</v>
      </c>
      <c r="B201" s="1">
        <v>46114</v>
      </c>
      <c r="C201" t="s">
        <v>1231</v>
      </c>
      <c r="D201" t="s">
        <v>131</v>
      </c>
      <c r="E201" t="s">
        <v>345</v>
      </c>
      <c r="F201" s="2" t="s">
        <v>346</v>
      </c>
      <c r="G201" t="s">
        <v>347</v>
      </c>
      <c r="H201">
        <v>3</v>
      </c>
      <c r="I201">
        <v>700</v>
      </c>
      <c r="J201">
        <v>100</v>
      </c>
      <c r="K201">
        <v>2000</v>
      </c>
      <c r="L201">
        <v>1230</v>
      </c>
      <c r="M201">
        <v>770</v>
      </c>
      <c r="N201" t="s">
        <v>576</v>
      </c>
      <c r="O201" t="s">
        <v>266</v>
      </c>
      <c r="P201" t="s">
        <v>18</v>
      </c>
      <c r="Q201" t="s">
        <v>585</v>
      </c>
      <c r="R201" s="14">
        <v>0.38500000000000001</v>
      </c>
    </row>
    <row r="202" spans="1:18" x14ac:dyDescent="0.3">
      <c r="A202" t="s">
        <v>777</v>
      </c>
      <c r="B202" s="1">
        <v>46156</v>
      </c>
      <c r="C202" t="s">
        <v>1237</v>
      </c>
      <c r="D202" t="s">
        <v>123</v>
      </c>
      <c r="E202" t="s">
        <v>360</v>
      </c>
      <c r="F202" s="2" t="s">
        <v>361</v>
      </c>
      <c r="G202" t="s">
        <v>362</v>
      </c>
      <c r="H202">
        <v>2</v>
      </c>
      <c r="I202">
        <v>1100</v>
      </c>
      <c r="J202">
        <v>20</v>
      </c>
      <c r="K202">
        <v>2180</v>
      </c>
      <c r="L202">
        <v>1360</v>
      </c>
      <c r="M202">
        <v>820</v>
      </c>
      <c r="N202" t="s">
        <v>579</v>
      </c>
      <c r="O202" t="s">
        <v>269</v>
      </c>
      <c r="P202" t="s">
        <v>18</v>
      </c>
      <c r="Q202" t="s">
        <v>568</v>
      </c>
      <c r="R202" s="14">
        <v>0.37614678899082599</v>
      </c>
    </row>
    <row r="203" spans="1:18" hidden="1" x14ac:dyDescent="0.3">
      <c r="A203" t="s">
        <v>778</v>
      </c>
      <c r="B203" s="1">
        <v>46034</v>
      </c>
      <c r="C203" t="s">
        <v>1234</v>
      </c>
      <c r="D203" t="s">
        <v>181</v>
      </c>
      <c r="E203" t="s">
        <v>350</v>
      </c>
      <c r="F203" s="2" t="s">
        <v>351</v>
      </c>
      <c r="G203" t="s">
        <v>352</v>
      </c>
      <c r="H203">
        <v>2</v>
      </c>
      <c r="I203">
        <v>900</v>
      </c>
      <c r="J203">
        <v>0</v>
      </c>
      <c r="K203">
        <v>1800</v>
      </c>
      <c r="L203">
        <v>1080</v>
      </c>
      <c r="M203">
        <v>720</v>
      </c>
      <c r="N203" t="s">
        <v>576</v>
      </c>
      <c r="O203" t="s">
        <v>269</v>
      </c>
      <c r="P203" t="s">
        <v>13</v>
      </c>
      <c r="Q203" t="s">
        <v>585</v>
      </c>
      <c r="R203" s="14">
        <v>0.4</v>
      </c>
    </row>
    <row r="204" spans="1:18" hidden="1" x14ac:dyDescent="0.3">
      <c r="A204" t="s">
        <v>779</v>
      </c>
      <c r="B204" s="1">
        <v>46195</v>
      </c>
      <c r="C204" t="s">
        <v>1233</v>
      </c>
      <c r="D204" t="s">
        <v>23</v>
      </c>
      <c r="E204" t="s">
        <v>369</v>
      </c>
      <c r="F204" s="2" t="s">
        <v>370</v>
      </c>
      <c r="G204" t="s">
        <v>371</v>
      </c>
      <c r="H204">
        <v>1</v>
      </c>
      <c r="I204">
        <v>1450</v>
      </c>
      <c r="J204">
        <v>20</v>
      </c>
      <c r="K204">
        <v>1430</v>
      </c>
      <c r="L204">
        <v>900</v>
      </c>
      <c r="M204">
        <v>530</v>
      </c>
      <c r="N204" t="s">
        <v>567</v>
      </c>
      <c r="O204" t="s">
        <v>269</v>
      </c>
      <c r="P204" t="s">
        <v>13</v>
      </c>
      <c r="Q204" t="s">
        <v>574</v>
      </c>
      <c r="R204" s="14">
        <v>0.37062937062937101</v>
      </c>
    </row>
    <row r="205" spans="1:18" hidden="1" x14ac:dyDescent="0.3">
      <c r="A205" t="s">
        <v>780</v>
      </c>
      <c r="B205" s="1">
        <v>46233</v>
      </c>
      <c r="C205" t="s">
        <v>1232</v>
      </c>
      <c r="D205" t="s">
        <v>51</v>
      </c>
      <c r="E205" t="s">
        <v>415</v>
      </c>
      <c r="F205" s="2" t="s">
        <v>416</v>
      </c>
      <c r="G205" t="s">
        <v>347</v>
      </c>
      <c r="H205">
        <v>1</v>
      </c>
      <c r="I205">
        <v>1250</v>
      </c>
      <c r="J205">
        <v>0</v>
      </c>
      <c r="K205">
        <v>1250</v>
      </c>
      <c r="L205">
        <v>760</v>
      </c>
      <c r="M205">
        <v>490</v>
      </c>
      <c r="N205" t="s">
        <v>567</v>
      </c>
      <c r="O205" t="s">
        <v>266</v>
      </c>
      <c r="P205" t="s">
        <v>13</v>
      </c>
      <c r="Q205" t="s">
        <v>574</v>
      </c>
      <c r="R205" s="14">
        <v>0.39200000000000002</v>
      </c>
    </row>
    <row r="206" spans="1:18" hidden="1" x14ac:dyDescent="0.3">
      <c r="A206" t="s">
        <v>781</v>
      </c>
      <c r="B206" s="1">
        <v>46115</v>
      </c>
      <c r="C206" t="s">
        <v>1231</v>
      </c>
      <c r="D206" t="s">
        <v>115</v>
      </c>
      <c r="E206" t="s">
        <v>350</v>
      </c>
      <c r="F206" s="2" t="s">
        <v>351</v>
      </c>
      <c r="G206" t="s">
        <v>352</v>
      </c>
      <c r="H206">
        <v>1</v>
      </c>
      <c r="I206">
        <v>900</v>
      </c>
      <c r="J206">
        <v>50</v>
      </c>
      <c r="K206">
        <v>850</v>
      </c>
      <c r="L206">
        <v>540</v>
      </c>
      <c r="M206">
        <v>310</v>
      </c>
      <c r="N206" t="s">
        <v>573</v>
      </c>
      <c r="O206" t="s">
        <v>269</v>
      </c>
      <c r="P206" t="s">
        <v>13</v>
      </c>
      <c r="Q206" t="s">
        <v>585</v>
      </c>
      <c r="R206" s="14">
        <v>0.36470588235294099</v>
      </c>
    </row>
    <row r="207" spans="1:18" hidden="1" x14ac:dyDescent="0.3">
      <c r="A207" t="s">
        <v>782</v>
      </c>
      <c r="B207" s="1">
        <v>46059</v>
      </c>
      <c r="C207" t="s">
        <v>1235</v>
      </c>
      <c r="D207" t="s">
        <v>14</v>
      </c>
      <c r="E207" t="s">
        <v>374</v>
      </c>
      <c r="F207" s="2" t="s">
        <v>375</v>
      </c>
      <c r="G207" t="s">
        <v>376</v>
      </c>
      <c r="H207">
        <v>1</v>
      </c>
      <c r="I207">
        <v>800</v>
      </c>
      <c r="J207">
        <v>75</v>
      </c>
      <c r="K207">
        <v>725</v>
      </c>
      <c r="L207">
        <v>470</v>
      </c>
      <c r="M207">
        <v>255</v>
      </c>
      <c r="N207" t="s">
        <v>576</v>
      </c>
      <c r="O207" t="s">
        <v>266</v>
      </c>
      <c r="P207" t="s">
        <v>8</v>
      </c>
      <c r="Q207" t="s">
        <v>571</v>
      </c>
      <c r="R207" s="14">
        <v>0.35172413793103402</v>
      </c>
    </row>
    <row r="208" spans="1:18" hidden="1" x14ac:dyDescent="0.3">
      <c r="A208" t="s">
        <v>783</v>
      </c>
      <c r="B208" s="1">
        <v>46127</v>
      </c>
      <c r="C208" t="s">
        <v>1231</v>
      </c>
      <c r="D208" t="s">
        <v>79</v>
      </c>
      <c r="E208" t="s">
        <v>400</v>
      </c>
      <c r="F208" s="2" t="s">
        <v>401</v>
      </c>
      <c r="G208" t="s">
        <v>384</v>
      </c>
      <c r="H208">
        <v>1</v>
      </c>
      <c r="I208">
        <v>950</v>
      </c>
      <c r="J208">
        <v>20</v>
      </c>
      <c r="K208">
        <v>930</v>
      </c>
      <c r="L208">
        <v>570</v>
      </c>
      <c r="M208">
        <v>360</v>
      </c>
      <c r="N208" t="s">
        <v>579</v>
      </c>
      <c r="O208" t="s">
        <v>269</v>
      </c>
      <c r="P208" t="s">
        <v>8</v>
      </c>
      <c r="Q208" t="s">
        <v>574</v>
      </c>
      <c r="R208" s="14">
        <v>0.38709677419354799</v>
      </c>
    </row>
    <row r="209" spans="1:18" hidden="1" x14ac:dyDescent="0.3">
      <c r="A209" t="s">
        <v>784</v>
      </c>
      <c r="B209" s="1">
        <v>46061</v>
      </c>
      <c r="C209" t="s">
        <v>1235</v>
      </c>
      <c r="D209" t="s">
        <v>91</v>
      </c>
      <c r="E209" t="s">
        <v>345</v>
      </c>
      <c r="F209" s="2" t="s">
        <v>346</v>
      </c>
      <c r="G209" t="s">
        <v>347</v>
      </c>
      <c r="H209">
        <v>2</v>
      </c>
      <c r="I209">
        <v>700</v>
      </c>
      <c r="J209">
        <v>50</v>
      </c>
      <c r="K209">
        <v>1350</v>
      </c>
      <c r="L209">
        <v>820</v>
      </c>
      <c r="M209">
        <v>530</v>
      </c>
      <c r="N209" t="s">
        <v>570</v>
      </c>
      <c r="O209" t="s">
        <v>269</v>
      </c>
      <c r="P209" t="s">
        <v>8</v>
      </c>
      <c r="Q209" t="s">
        <v>585</v>
      </c>
      <c r="R209" s="14">
        <v>0.39259259259259299</v>
      </c>
    </row>
    <row r="210" spans="1:18" hidden="1" x14ac:dyDescent="0.3">
      <c r="A210" t="s">
        <v>785</v>
      </c>
      <c r="B210" s="1">
        <v>46043</v>
      </c>
      <c r="C210" t="s">
        <v>1234</v>
      </c>
      <c r="D210" t="s">
        <v>37</v>
      </c>
      <c r="E210" t="s">
        <v>350</v>
      </c>
      <c r="F210" s="2" t="s">
        <v>351</v>
      </c>
      <c r="G210" t="s">
        <v>352</v>
      </c>
      <c r="H210">
        <v>1</v>
      </c>
      <c r="I210">
        <v>900</v>
      </c>
      <c r="J210">
        <v>20</v>
      </c>
      <c r="K210">
        <v>880</v>
      </c>
      <c r="L210">
        <v>540</v>
      </c>
      <c r="M210">
        <v>340</v>
      </c>
      <c r="N210" t="s">
        <v>573</v>
      </c>
      <c r="O210" t="s">
        <v>269</v>
      </c>
      <c r="P210" t="s">
        <v>8</v>
      </c>
      <c r="Q210" t="s">
        <v>585</v>
      </c>
      <c r="R210" s="14">
        <v>0.38636363636363602</v>
      </c>
    </row>
    <row r="211" spans="1:18" hidden="1" x14ac:dyDescent="0.3">
      <c r="A211" t="s">
        <v>786</v>
      </c>
      <c r="B211" s="1">
        <v>46100</v>
      </c>
      <c r="C211" t="s">
        <v>1230</v>
      </c>
      <c r="D211" t="s">
        <v>9</v>
      </c>
      <c r="E211" t="s">
        <v>396</v>
      </c>
      <c r="F211" s="2" t="s">
        <v>397</v>
      </c>
      <c r="G211" t="s">
        <v>376</v>
      </c>
      <c r="H211">
        <v>1</v>
      </c>
      <c r="I211">
        <v>600</v>
      </c>
      <c r="J211">
        <v>0</v>
      </c>
      <c r="K211">
        <v>600</v>
      </c>
      <c r="L211">
        <v>350</v>
      </c>
      <c r="M211">
        <v>250</v>
      </c>
      <c r="N211" t="s">
        <v>567</v>
      </c>
      <c r="O211" t="s">
        <v>269</v>
      </c>
      <c r="P211" t="s">
        <v>8</v>
      </c>
      <c r="Q211" t="s">
        <v>574</v>
      </c>
      <c r="R211" s="14">
        <v>0.41666666666666702</v>
      </c>
    </row>
    <row r="212" spans="1:18" hidden="1" x14ac:dyDescent="0.3">
      <c r="A212" t="s">
        <v>787</v>
      </c>
      <c r="B212" s="1">
        <v>46036</v>
      </c>
      <c r="C212" t="s">
        <v>1234</v>
      </c>
      <c r="D212" t="s">
        <v>247</v>
      </c>
      <c r="E212" t="s">
        <v>396</v>
      </c>
      <c r="F212" s="2" t="s">
        <v>397</v>
      </c>
      <c r="G212" t="s">
        <v>376</v>
      </c>
      <c r="H212">
        <v>1</v>
      </c>
      <c r="I212">
        <v>600</v>
      </c>
      <c r="J212">
        <v>20</v>
      </c>
      <c r="K212">
        <v>580</v>
      </c>
      <c r="L212">
        <v>350</v>
      </c>
      <c r="M212">
        <v>230</v>
      </c>
      <c r="N212" t="s">
        <v>573</v>
      </c>
      <c r="O212" t="s">
        <v>266</v>
      </c>
      <c r="P212" t="s">
        <v>8</v>
      </c>
      <c r="Q212" t="s">
        <v>568</v>
      </c>
      <c r="R212" s="14">
        <v>0.39655172413793099</v>
      </c>
    </row>
    <row r="213" spans="1:18" hidden="1" x14ac:dyDescent="0.3">
      <c r="A213" t="s">
        <v>788</v>
      </c>
      <c r="B213" s="1">
        <v>46088</v>
      </c>
      <c r="C213" t="s">
        <v>1230</v>
      </c>
      <c r="D213" t="s">
        <v>77</v>
      </c>
      <c r="E213" t="s">
        <v>387</v>
      </c>
      <c r="F213" s="2" t="s">
        <v>388</v>
      </c>
      <c r="G213" t="s">
        <v>347</v>
      </c>
      <c r="H213">
        <v>1</v>
      </c>
      <c r="I213">
        <v>850</v>
      </c>
      <c r="J213">
        <v>100</v>
      </c>
      <c r="K213">
        <v>750</v>
      </c>
      <c r="L213">
        <v>520</v>
      </c>
      <c r="M213">
        <v>230</v>
      </c>
      <c r="N213" t="s">
        <v>567</v>
      </c>
      <c r="O213" t="s">
        <v>269</v>
      </c>
      <c r="P213" t="s">
        <v>18</v>
      </c>
      <c r="Q213" t="s">
        <v>574</v>
      </c>
      <c r="R213" s="14">
        <v>0.30666666666666698</v>
      </c>
    </row>
    <row r="214" spans="1:18" hidden="1" x14ac:dyDescent="0.3">
      <c r="A214" t="s">
        <v>789</v>
      </c>
      <c r="B214" s="1">
        <v>46069</v>
      </c>
      <c r="C214" t="s">
        <v>1235</v>
      </c>
      <c r="D214" t="s">
        <v>69</v>
      </c>
      <c r="E214" t="s">
        <v>350</v>
      </c>
      <c r="F214" s="2" t="s">
        <v>351</v>
      </c>
      <c r="G214" t="s">
        <v>352</v>
      </c>
      <c r="H214">
        <v>1</v>
      </c>
      <c r="I214">
        <v>900</v>
      </c>
      <c r="J214">
        <v>100</v>
      </c>
      <c r="K214">
        <v>800</v>
      </c>
      <c r="L214">
        <v>540</v>
      </c>
      <c r="M214">
        <v>260</v>
      </c>
      <c r="N214" t="s">
        <v>570</v>
      </c>
      <c r="O214" t="s">
        <v>266</v>
      </c>
      <c r="P214" t="s">
        <v>18</v>
      </c>
      <c r="Q214" t="s">
        <v>568</v>
      </c>
      <c r="R214" s="14">
        <v>0.32500000000000001</v>
      </c>
    </row>
    <row r="215" spans="1:18" hidden="1" x14ac:dyDescent="0.3">
      <c r="A215" t="s">
        <v>790</v>
      </c>
      <c r="B215" s="1">
        <v>46127</v>
      </c>
      <c r="C215" t="s">
        <v>1231</v>
      </c>
      <c r="D215" t="s">
        <v>6</v>
      </c>
      <c r="E215" t="s">
        <v>369</v>
      </c>
      <c r="F215" s="2" t="s">
        <v>370</v>
      </c>
      <c r="G215" t="s">
        <v>371</v>
      </c>
      <c r="H215">
        <v>1</v>
      </c>
      <c r="I215">
        <v>1450</v>
      </c>
      <c r="J215">
        <v>50</v>
      </c>
      <c r="K215">
        <v>1400</v>
      </c>
      <c r="L215">
        <v>900</v>
      </c>
      <c r="M215">
        <v>500</v>
      </c>
      <c r="N215" t="s">
        <v>567</v>
      </c>
      <c r="O215" t="s">
        <v>266</v>
      </c>
      <c r="P215" t="s">
        <v>18</v>
      </c>
      <c r="Q215" t="s">
        <v>585</v>
      </c>
      <c r="R215" s="14">
        <v>0.35714285714285698</v>
      </c>
    </row>
    <row r="216" spans="1:18" hidden="1" x14ac:dyDescent="0.3">
      <c r="A216" t="s">
        <v>791</v>
      </c>
      <c r="B216" s="1">
        <v>46143</v>
      </c>
      <c r="C216" t="s">
        <v>1237</v>
      </c>
      <c r="D216" t="s">
        <v>221</v>
      </c>
      <c r="E216" t="s">
        <v>382</v>
      </c>
      <c r="F216" s="2" t="s">
        <v>383</v>
      </c>
      <c r="G216" t="s">
        <v>384</v>
      </c>
      <c r="H216">
        <v>1</v>
      </c>
      <c r="I216">
        <v>1200</v>
      </c>
      <c r="J216">
        <v>0</v>
      </c>
      <c r="K216">
        <v>1200</v>
      </c>
      <c r="L216">
        <v>730</v>
      </c>
      <c r="M216">
        <v>470</v>
      </c>
      <c r="N216" t="s">
        <v>567</v>
      </c>
      <c r="O216" t="s">
        <v>269</v>
      </c>
      <c r="P216" t="s">
        <v>13</v>
      </c>
      <c r="Q216" t="s">
        <v>574</v>
      </c>
      <c r="R216" s="14">
        <v>0.391666666666667</v>
      </c>
    </row>
    <row r="217" spans="1:18" hidden="1" x14ac:dyDescent="0.3">
      <c r="A217" t="s">
        <v>792</v>
      </c>
      <c r="B217" s="1">
        <v>46178</v>
      </c>
      <c r="C217" t="s">
        <v>1233</v>
      </c>
      <c r="D217" t="s">
        <v>229</v>
      </c>
      <c r="E217" t="s">
        <v>387</v>
      </c>
      <c r="F217" s="2" t="s">
        <v>388</v>
      </c>
      <c r="G217" t="s">
        <v>347</v>
      </c>
      <c r="H217">
        <v>2</v>
      </c>
      <c r="I217">
        <v>850</v>
      </c>
      <c r="J217">
        <v>75</v>
      </c>
      <c r="K217">
        <v>1625</v>
      </c>
      <c r="L217">
        <v>1040</v>
      </c>
      <c r="M217">
        <v>585</v>
      </c>
      <c r="N217" t="s">
        <v>576</v>
      </c>
      <c r="O217" t="s">
        <v>269</v>
      </c>
      <c r="P217" t="s">
        <v>13</v>
      </c>
      <c r="Q217" t="s">
        <v>568</v>
      </c>
      <c r="R217" s="14">
        <v>0.36</v>
      </c>
    </row>
    <row r="218" spans="1:18" hidden="1" x14ac:dyDescent="0.3">
      <c r="A218" t="s">
        <v>793</v>
      </c>
      <c r="B218" s="1">
        <v>46042</v>
      </c>
      <c r="C218" t="s">
        <v>1234</v>
      </c>
      <c r="D218" t="s">
        <v>59</v>
      </c>
      <c r="E218" t="s">
        <v>396</v>
      </c>
      <c r="F218" s="2" t="s">
        <v>397</v>
      </c>
      <c r="G218" t="s">
        <v>376</v>
      </c>
      <c r="H218">
        <v>1</v>
      </c>
      <c r="I218">
        <v>600</v>
      </c>
      <c r="J218">
        <v>20</v>
      </c>
      <c r="K218">
        <v>580</v>
      </c>
      <c r="L218">
        <v>350</v>
      </c>
      <c r="M218">
        <v>230</v>
      </c>
      <c r="N218" t="s">
        <v>567</v>
      </c>
      <c r="O218" t="s">
        <v>269</v>
      </c>
      <c r="P218" t="s">
        <v>18</v>
      </c>
      <c r="Q218" t="s">
        <v>568</v>
      </c>
      <c r="R218" s="14">
        <v>0.39655172413793099</v>
      </c>
    </row>
    <row r="219" spans="1:18" hidden="1" x14ac:dyDescent="0.3">
      <c r="A219" t="s">
        <v>794</v>
      </c>
      <c r="B219" s="1">
        <v>46263</v>
      </c>
      <c r="C219" t="s">
        <v>1236</v>
      </c>
      <c r="D219" t="s">
        <v>109</v>
      </c>
      <c r="E219" t="s">
        <v>341</v>
      </c>
      <c r="F219" s="2" t="s">
        <v>342</v>
      </c>
      <c r="G219" t="s">
        <v>343</v>
      </c>
      <c r="H219">
        <v>3</v>
      </c>
      <c r="I219">
        <v>750</v>
      </c>
      <c r="J219">
        <v>0</v>
      </c>
      <c r="K219">
        <v>2250</v>
      </c>
      <c r="L219">
        <v>1290</v>
      </c>
      <c r="M219">
        <v>960</v>
      </c>
      <c r="N219" t="s">
        <v>576</v>
      </c>
      <c r="O219" t="s">
        <v>266</v>
      </c>
      <c r="P219" t="s">
        <v>13</v>
      </c>
      <c r="Q219" t="s">
        <v>574</v>
      </c>
      <c r="R219" s="14">
        <v>0.42666666666666703</v>
      </c>
    </row>
    <row r="220" spans="1:18" hidden="1" x14ac:dyDescent="0.3">
      <c r="A220" t="s">
        <v>795</v>
      </c>
      <c r="B220" s="1">
        <v>46072</v>
      </c>
      <c r="C220" t="s">
        <v>1235</v>
      </c>
      <c r="D220" t="s">
        <v>65</v>
      </c>
      <c r="E220" t="s">
        <v>393</v>
      </c>
      <c r="F220" s="2" t="s">
        <v>394</v>
      </c>
      <c r="G220" t="s">
        <v>371</v>
      </c>
      <c r="H220">
        <v>1</v>
      </c>
      <c r="I220">
        <v>1150</v>
      </c>
      <c r="J220">
        <v>100</v>
      </c>
      <c r="K220">
        <v>1050</v>
      </c>
      <c r="L220">
        <v>700</v>
      </c>
      <c r="M220">
        <v>350</v>
      </c>
      <c r="N220" t="s">
        <v>573</v>
      </c>
      <c r="O220" t="s">
        <v>269</v>
      </c>
      <c r="P220" t="s">
        <v>18</v>
      </c>
      <c r="Q220" t="s">
        <v>568</v>
      </c>
      <c r="R220" s="14">
        <v>0.33333333333333298</v>
      </c>
    </row>
    <row r="221" spans="1:18" hidden="1" x14ac:dyDescent="0.3">
      <c r="A221" t="s">
        <v>796</v>
      </c>
      <c r="B221" s="1">
        <v>46106</v>
      </c>
      <c r="C221" t="s">
        <v>1230</v>
      </c>
      <c r="D221" t="s">
        <v>53</v>
      </c>
      <c r="E221" t="s">
        <v>393</v>
      </c>
      <c r="F221" s="2" t="s">
        <v>394</v>
      </c>
      <c r="G221" t="s">
        <v>371</v>
      </c>
      <c r="H221">
        <v>1</v>
      </c>
      <c r="I221">
        <v>1150</v>
      </c>
      <c r="J221">
        <v>50</v>
      </c>
      <c r="K221">
        <v>1100</v>
      </c>
      <c r="L221">
        <v>700</v>
      </c>
      <c r="M221">
        <v>400</v>
      </c>
      <c r="N221" t="s">
        <v>567</v>
      </c>
      <c r="O221" t="s">
        <v>266</v>
      </c>
      <c r="P221" t="s">
        <v>8</v>
      </c>
      <c r="Q221" t="s">
        <v>568</v>
      </c>
      <c r="R221" s="14">
        <v>0.36363636363636398</v>
      </c>
    </row>
    <row r="222" spans="1:18" x14ac:dyDescent="0.3">
      <c r="A222" t="s">
        <v>797</v>
      </c>
      <c r="B222" s="1">
        <v>46030</v>
      </c>
      <c r="C222" t="s">
        <v>1234</v>
      </c>
      <c r="D222" t="s">
        <v>65</v>
      </c>
      <c r="E222" t="s">
        <v>360</v>
      </c>
      <c r="F222" s="2" t="s">
        <v>361</v>
      </c>
      <c r="G222" t="s">
        <v>362</v>
      </c>
      <c r="H222">
        <v>1</v>
      </c>
      <c r="I222">
        <v>1100</v>
      </c>
      <c r="J222">
        <v>0</v>
      </c>
      <c r="K222">
        <v>1100</v>
      </c>
      <c r="L222">
        <v>680</v>
      </c>
      <c r="M222">
        <v>420</v>
      </c>
      <c r="N222" t="s">
        <v>567</v>
      </c>
      <c r="O222" t="s">
        <v>269</v>
      </c>
      <c r="P222" t="s">
        <v>8</v>
      </c>
      <c r="Q222" t="s">
        <v>568</v>
      </c>
      <c r="R222" s="14">
        <v>0.381818181818182</v>
      </c>
    </row>
    <row r="223" spans="1:18" hidden="1" x14ac:dyDescent="0.3">
      <c r="A223" t="s">
        <v>798</v>
      </c>
      <c r="B223" s="1">
        <v>46224</v>
      </c>
      <c r="C223" t="s">
        <v>1232</v>
      </c>
      <c r="D223" t="s">
        <v>67</v>
      </c>
      <c r="E223" t="s">
        <v>387</v>
      </c>
      <c r="F223" s="2" t="s">
        <v>388</v>
      </c>
      <c r="G223" t="s">
        <v>347</v>
      </c>
      <c r="H223">
        <v>2</v>
      </c>
      <c r="I223">
        <v>850</v>
      </c>
      <c r="J223">
        <v>100</v>
      </c>
      <c r="K223">
        <v>1600</v>
      </c>
      <c r="L223">
        <v>1040</v>
      </c>
      <c r="M223">
        <v>560</v>
      </c>
      <c r="N223" t="s">
        <v>579</v>
      </c>
      <c r="O223" t="s">
        <v>266</v>
      </c>
      <c r="P223" t="s">
        <v>13</v>
      </c>
      <c r="Q223" t="s">
        <v>585</v>
      </c>
      <c r="R223" s="14">
        <v>0.35</v>
      </c>
    </row>
    <row r="224" spans="1:18" hidden="1" x14ac:dyDescent="0.3">
      <c r="A224" t="s">
        <v>799</v>
      </c>
      <c r="B224" s="1">
        <v>46094</v>
      </c>
      <c r="C224" t="s">
        <v>1230</v>
      </c>
      <c r="D224" t="s">
        <v>185</v>
      </c>
      <c r="E224" t="s">
        <v>374</v>
      </c>
      <c r="F224" s="2" t="s">
        <v>375</v>
      </c>
      <c r="G224" t="s">
        <v>376</v>
      </c>
      <c r="H224">
        <v>2</v>
      </c>
      <c r="I224">
        <v>800</v>
      </c>
      <c r="J224">
        <v>0</v>
      </c>
      <c r="K224">
        <v>1600</v>
      </c>
      <c r="L224">
        <v>940</v>
      </c>
      <c r="M224">
        <v>660</v>
      </c>
      <c r="N224" t="s">
        <v>576</v>
      </c>
      <c r="O224" t="s">
        <v>269</v>
      </c>
      <c r="P224" t="s">
        <v>13</v>
      </c>
      <c r="Q224" t="s">
        <v>568</v>
      </c>
      <c r="R224" s="14">
        <v>0.41249999999999998</v>
      </c>
    </row>
    <row r="225" spans="1:18" hidden="1" x14ac:dyDescent="0.3">
      <c r="A225" t="s">
        <v>800</v>
      </c>
      <c r="B225" s="1">
        <v>46112</v>
      </c>
      <c r="C225" t="s">
        <v>1230</v>
      </c>
      <c r="D225" t="s">
        <v>131</v>
      </c>
      <c r="E225" t="s">
        <v>396</v>
      </c>
      <c r="F225" s="2" t="s">
        <v>397</v>
      </c>
      <c r="G225" t="s">
        <v>376</v>
      </c>
      <c r="H225">
        <v>1</v>
      </c>
      <c r="I225">
        <v>600</v>
      </c>
      <c r="J225">
        <v>50</v>
      </c>
      <c r="K225">
        <v>550</v>
      </c>
      <c r="L225">
        <v>350</v>
      </c>
      <c r="M225">
        <v>200</v>
      </c>
      <c r="N225" t="s">
        <v>576</v>
      </c>
      <c r="O225" t="s">
        <v>266</v>
      </c>
      <c r="P225" t="s">
        <v>8</v>
      </c>
      <c r="Q225" t="s">
        <v>574</v>
      </c>
      <c r="R225" s="14">
        <v>0.36363636363636398</v>
      </c>
    </row>
    <row r="226" spans="1:18" hidden="1" x14ac:dyDescent="0.3">
      <c r="A226" t="s">
        <v>801</v>
      </c>
      <c r="B226" s="1">
        <v>46198</v>
      </c>
      <c r="C226" t="s">
        <v>1233</v>
      </c>
      <c r="D226" t="s">
        <v>33</v>
      </c>
      <c r="E226" t="s">
        <v>374</v>
      </c>
      <c r="F226" s="2" t="s">
        <v>375</v>
      </c>
      <c r="G226" t="s">
        <v>376</v>
      </c>
      <c r="H226">
        <v>4</v>
      </c>
      <c r="I226">
        <v>800</v>
      </c>
      <c r="J226">
        <v>20</v>
      </c>
      <c r="K226">
        <v>3180</v>
      </c>
      <c r="L226">
        <v>1880</v>
      </c>
      <c r="M226">
        <v>1300</v>
      </c>
      <c r="N226" t="s">
        <v>573</v>
      </c>
      <c r="O226" t="s">
        <v>269</v>
      </c>
      <c r="P226" t="s">
        <v>13</v>
      </c>
      <c r="Q226" t="s">
        <v>568</v>
      </c>
      <c r="R226" s="14">
        <v>0.40880503144654101</v>
      </c>
    </row>
    <row r="227" spans="1:18" hidden="1" x14ac:dyDescent="0.3">
      <c r="A227" t="s">
        <v>802</v>
      </c>
      <c r="B227" s="1">
        <v>46260</v>
      </c>
      <c r="C227" t="s">
        <v>1236</v>
      </c>
      <c r="D227" t="s">
        <v>14</v>
      </c>
      <c r="E227" t="s">
        <v>393</v>
      </c>
      <c r="F227" s="2" t="s">
        <v>394</v>
      </c>
      <c r="G227" t="s">
        <v>371</v>
      </c>
      <c r="H227">
        <v>3</v>
      </c>
      <c r="I227">
        <v>1150</v>
      </c>
      <c r="J227">
        <v>20</v>
      </c>
      <c r="K227">
        <v>3430</v>
      </c>
      <c r="L227">
        <v>2100</v>
      </c>
      <c r="M227">
        <v>1330</v>
      </c>
      <c r="N227" t="s">
        <v>570</v>
      </c>
      <c r="O227" t="s">
        <v>266</v>
      </c>
      <c r="P227" t="s">
        <v>8</v>
      </c>
      <c r="Q227" t="s">
        <v>585</v>
      </c>
      <c r="R227" s="14">
        <v>0.38775510204081598</v>
      </c>
    </row>
    <row r="228" spans="1:18" hidden="1" x14ac:dyDescent="0.3">
      <c r="A228" t="s">
        <v>803</v>
      </c>
      <c r="B228" s="1">
        <v>46151</v>
      </c>
      <c r="C228" t="s">
        <v>1237</v>
      </c>
      <c r="D228" t="s">
        <v>183</v>
      </c>
      <c r="E228" t="s">
        <v>382</v>
      </c>
      <c r="F228" s="2" t="s">
        <v>383</v>
      </c>
      <c r="G228" t="s">
        <v>384</v>
      </c>
      <c r="H228">
        <v>1</v>
      </c>
      <c r="I228">
        <v>1200</v>
      </c>
      <c r="J228">
        <v>75</v>
      </c>
      <c r="K228">
        <v>1125</v>
      </c>
      <c r="L228">
        <v>730</v>
      </c>
      <c r="M228">
        <v>395</v>
      </c>
      <c r="N228" t="s">
        <v>573</v>
      </c>
      <c r="O228" t="s">
        <v>269</v>
      </c>
      <c r="P228" t="s">
        <v>18</v>
      </c>
      <c r="Q228" t="s">
        <v>574</v>
      </c>
      <c r="R228" s="14">
        <v>0.35111111111111099</v>
      </c>
    </row>
    <row r="229" spans="1:18" hidden="1" x14ac:dyDescent="0.3">
      <c r="A229" t="s">
        <v>804</v>
      </c>
      <c r="B229" s="1">
        <v>46082</v>
      </c>
      <c r="C229" t="s">
        <v>1230</v>
      </c>
      <c r="D229" t="s">
        <v>193</v>
      </c>
      <c r="E229" t="s">
        <v>369</v>
      </c>
      <c r="F229" s="2" t="s">
        <v>370</v>
      </c>
      <c r="G229" t="s">
        <v>371</v>
      </c>
      <c r="H229">
        <v>1</v>
      </c>
      <c r="I229">
        <v>1450</v>
      </c>
      <c r="J229">
        <v>50</v>
      </c>
      <c r="K229">
        <v>1400</v>
      </c>
      <c r="L229">
        <v>900</v>
      </c>
      <c r="M229">
        <v>500</v>
      </c>
      <c r="N229" t="s">
        <v>573</v>
      </c>
      <c r="O229" t="s">
        <v>269</v>
      </c>
      <c r="P229" t="s">
        <v>13</v>
      </c>
      <c r="Q229" t="s">
        <v>574</v>
      </c>
      <c r="R229" s="14">
        <v>0.35714285714285698</v>
      </c>
    </row>
    <row r="230" spans="1:18" hidden="1" x14ac:dyDescent="0.3">
      <c r="A230" t="s">
        <v>805</v>
      </c>
      <c r="B230" s="1">
        <v>46121</v>
      </c>
      <c r="C230" t="s">
        <v>1231</v>
      </c>
      <c r="D230" t="s">
        <v>151</v>
      </c>
      <c r="E230" t="s">
        <v>415</v>
      </c>
      <c r="F230" s="2" t="s">
        <v>416</v>
      </c>
      <c r="G230" t="s">
        <v>347</v>
      </c>
      <c r="H230">
        <v>1</v>
      </c>
      <c r="I230">
        <v>1250</v>
      </c>
      <c r="J230">
        <v>0</v>
      </c>
      <c r="K230">
        <v>1250</v>
      </c>
      <c r="L230">
        <v>760</v>
      </c>
      <c r="M230">
        <v>490</v>
      </c>
      <c r="N230" t="s">
        <v>579</v>
      </c>
      <c r="O230" t="s">
        <v>266</v>
      </c>
      <c r="P230" t="s">
        <v>8</v>
      </c>
      <c r="Q230" t="s">
        <v>574</v>
      </c>
      <c r="R230" s="14">
        <v>0.39200000000000002</v>
      </c>
    </row>
    <row r="231" spans="1:18" hidden="1" x14ac:dyDescent="0.3">
      <c r="A231" t="s">
        <v>806</v>
      </c>
      <c r="B231" s="1">
        <v>46220</v>
      </c>
      <c r="C231" t="s">
        <v>1232</v>
      </c>
      <c r="D231" t="s">
        <v>63</v>
      </c>
      <c r="E231" t="s">
        <v>341</v>
      </c>
      <c r="F231" s="2" t="s">
        <v>342</v>
      </c>
      <c r="G231" t="s">
        <v>343</v>
      </c>
      <c r="H231">
        <v>3</v>
      </c>
      <c r="I231">
        <v>750</v>
      </c>
      <c r="J231">
        <v>20</v>
      </c>
      <c r="K231">
        <v>2230</v>
      </c>
      <c r="L231">
        <v>1290</v>
      </c>
      <c r="M231">
        <v>940</v>
      </c>
      <c r="N231" t="s">
        <v>567</v>
      </c>
      <c r="O231" t="s">
        <v>269</v>
      </c>
      <c r="P231" t="s">
        <v>8</v>
      </c>
      <c r="Q231" t="s">
        <v>568</v>
      </c>
      <c r="R231" s="14">
        <v>0.42152466367712998</v>
      </c>
    </row>
    <row r="232" spans="1:18" hidden="1" x14ac:dyDescent="0.3">
      <c r="A232" t="s">
        <v>807</v>
      </c>
      <c r="B232" s="1">
        <v>46066</v>
      </c>
      <c r="C232" t="s">
        <v>1235</v>
      </c>
      <c r="D232" t="s">
        <v>1228</v>
      </c>
      <c r="E232" t="s">
        <v>341</v>
      </c>
      <c r="F232" s="2" t="s">
        <v>342</v>
      </c>
      <c r="G232" t="s">
        <v>343</v>
      </c>
      <c r="H232">
        <v>1</v>
      </c>
      <c r="I232">
        <v>750</v>
      </c>
      <c r="J232">
        <v>20</v>
      </c>
      <c r="K232">
        <v>730</v>
      </c>
      <c r="L232">
        <v>430</v>
      </c>
      <c r="M232">
        <v>300</v>
      </c>
      <c r="N232" t="s">
        <v>570</v>
      </c>
      <c r="O232" t="s">
        <v>266</v>
      </c>
      <c r="P232" t="s">
        <v>18</v>
      </c>
      <c r="Q232" t="s">
        <v>585</v>
      </c>
      <c r="R232" s="14">
        <v>0.41095890410958902</v>
      </c>
    </row>
    <row r="233" spans="1:18" hidden="1" x14ac:dyDescent="0.3">
      <c r="A233" t="s">
        <v>808</v>
      </c>
      <c r="B233" s="1">
        <v>46043</v>
      </c>
      <c r="C233" t="s">
        <v>1234</v>
      </c>
      <c r="D233" t="s">
        <v>53</v>
      </c>
      <c r="E233" t="s">
        <v>345</v>
      </c>
      <c r="F233" s="2" t="s">
        <v>346</v>
      </c>
      <c r="G233" t="s">
        <v>347</v>
      </c>
      <c r="H233">
        <v>2</v>
      </c>
      <c r="I233">
        <v>700</v>
      </c>
      <c r="J233">
        <v>20</v>
      </c>
      <c r="K233">
        <v>1380</v>
      </c>
      <c r="L233">
        <v>820</v>
      </c>
      <c r="M233">
        <v>560</v>
      </c>
      <c r="N233" t="s">
        <v>570</v>
      </c>
      <c r="O233" t="s">
        <v>269</v>
      </c>
      <c r="P233" t="s">
        <v>18</v>
      </c>
      <c r="Q233" t="s">
        <v>568</v>
      </c>
      <c r="R233" s="14">
        <v>0.405797101449275</v>
      </c>
    </row>
    <row r="234" spans="1:18" hidden="1" x14ac:dyDescent="0.3">
      <c r="A234" t="s">
        <v>809</v>
      </c>
      <c r="B234" s="1">
        <v>46037</v>
      </c>
      <c r="C234" t="s">
        <v>1234</v>
      </c>
      <c r="D234" t="s">
        <v>143</v>
      </c>
      <c r="E234" t="s">
        <v>374</v>
      </c>
      <c r="F234" s="2" t="s">
        <v>375</v>
      </c>
      <c r="G234" t="s">
        <v>376</v>
      </c>
      <c r="H234">
        <v>1</v>
      </c>
      <c r="I234">
        <v>800</v>
      </c>
      <c r="J234">
        <v>100</v>
      </c>
      <c r="K234">
        <v>700</v>
      </c>
      <c r="L234">
        <v>470</v>
      </c>
      <c r="M234">
        <v>230</v>
      </c>
      <c r="N234" t="s">
        <v>567</v>
      </c>
      <c r="O234" t="s">
        <v>269</v>
      </c>
      <c r="P234" t="s">
        <v>8</v>
      </c>
      <c r="Q234" t="s">
        <v>568</v>
      </c>
      <c r="R234" s="14">
        <v>0.32857142857142901</v>
      </c>
    </row>
    <row r="235" spans="1:18" hidden="1" x14ac:dyDescent="0.3">
      <c r="A235" t="s">
        <v>810</v>
      </c>
      <c r="B235" s="1">
        <v>46074</v>
      </c>
      <c r="C235" t="s">
        <v>1235</v>
      </c>
      <c r="D235" t="s">
        <v>227</v>
      </c>
      <c r="E235" t="s">
        <v>396</v>
      </c>
      <c r="F235" s="2" t="s">
        <v>397</v>
      </c>
      <c r="G235" t="s">
        <v>376</v>
      </c>
      <c r="H235">
        <v>1</v>
      </c>
      <c r="I235">
        <v>600</v>
      </c>
      <c r="J235">
        <v>0</v>
      </c>
      <c r="K235">
        <v>600</v>
      </c>
      <c r="L235">
        <v>350</v>
      </c>
      <c r="M235">
        <v>250</v>
      </c>
      <c r="N235" t="s">
        <v>570</v>
      </c>
      <c r="O235" t="s">
        <v>269</v>
      </c>
      <c r="P235" t="s">
        <v>18</v>
      </c>
      <c r="Q235" t="s">
        <v>574</v>
      </c>
      <c r="R235" s="14">
        <v>0.41666666666666702</v>
      </c>
    </row>
    <row r="236" spans="1:18" hidden="1" x14ac:dyDescent="0.3">
      <c r="A236" t="s">
        <v>811</v>
      </c>
      <c r="B236" s="1">
        <v>46168</v>
      </c>
      <c r="C236" t="s">
        <v>1237</v>
      </c>
      <c r="D236" t="s">
        <v>9</v>
      </c>
      <c r="E236" t="s">
        <v>400</v>
      </c>
      <c r="F236" s="2" t="s">
        <v>401</v>
      </c>
      <c r="G236" t="s">
        <v>384</v>
      </c>
      <c r="H236">
        <v>1</v>
      </c>
      <c r="I236">
        <v>950</v>
      </c>
      <c r="J236">
        <v>50</v>
      </c>
      <c r="K236">
        <v>900</v>
      </c>
      <c r="L236">
        <v>570</v>
      </c>
      <c r="M236">
        <v>330</v>
      </c>
      <c r="N236" t="s">
        <v>573</v>
      </c>
      <c r="O236" t="s">
        <v>269</v>
      </c>
      <c r="P236" t="s">
        <v>8</v>
      </c>
      <c r="Q236" t="s">
        <v>568</v>
      </c>
      <c r="R236" s="14">
        <v>0.36666666666666697</v>
      </c>
    </row>
    <row r="237" spans="1:18" hidden="1" x14ac:dyDescent="0.3">
      <c r="A237" t="s">
        <v>812</v>
      </c>
      <c r="B237" s="1">
        <v>46061</v>
      </c>
      <c r="C237" t="s">
        <v>1235</v>
      </c>
      <c r="D237" t="s">
        <v>33</v>
      </c>
      <c r="E237" t="s">
        <v>393</v>
      </c>
      <c r="F237" s="2" t="s">
        <v>394</v>
      </c>
      <c r="G237" t="s">
        <v>371</v>
      </c>
      <c r="H237">
        <v>1</v>
      </c>
      <c r="I237">
        <v>1150</v>
      </c>
      <c r="J237">
        <v>75</v>
      </c>
      <c r="K237">
        <v>1075</v>
      </c>
      <c r="L237">
        <v>700</v>
      </c>
      <c r="M237">
        <v>375</v>
      </c>
      <c r="N237" t="s">
        <v>573</v>
      </c>
      <c r="O237" t="s">
        <v>266</v>
      </c>
      <c r="P237" t="s">
        <v>13</v>
      </c>
      <c r="Q237" t="s">
        <v>568</v>
      </c>
      <c r="R237" s="14">
        <v>0.34883720930232598</v>
      </c>
    </row>
    <row r="238" spans="1:18" hidden="1" x14ac:dyDescent="0.3">
      <c r="A238" t="s">
        <v>813</v>
      </c>
      <c r="B238" s="1">
        <v>46076</v>
      </c>
      <c r="C238" t="s">
        <v>1235</v>
      </c>
      <c r="D238" t="s">
        <v>6</v>
      </c>
      <c r="E238" t="s">
        <v>355</v>
      </c>
      <c r="F238" s="2" t="s">
        <v>356</v>
      </c>
      <c r="G238" t="s">
        <v>343</v>
      </c>
      <c r="H238">
        <v>1</v>
      </c>
      <c r="I238">
        <v>550</v>
      </c>
      <c r="J238">
        <v>0</v>
      </c>
      <c r="K238">
        <v>550</v>
      </c>
      <c r="L238">
        <v>300</v>
      </c>
      <c r="M238">
        <v>250</v>
      </c>
      <c r="N238" t="s">
        <v>576</v>
      </c>
      <c r="O238" t="s">
        <v>266</v>
      </c>
      <c r="P238" t="s">
        <v>13</v>
      </c>
      <c r="Q238" t="s">
        <v>574</v>
      </c>
      <c r="R238" s="14">
        <v>0.45454545454545398</v>
      </c>
    </row>
    <row r="239" spans="1:18" hidden="1" x14ac:dyDescent="0.3">
      <c r="A239" t="s">
        <v>814</v>
      </c>
      <c r="B239" s="1">
        <v>46043</v>
      </c>
      <c r="C239" t="s">
        <v>1234</v>
      </c>
      <c r="D239" t="s">
        <v>179</v>
      </c>
      <c r="E239" t="s">
        <v>393</v>
      </c>
      <c r="F239" s="2" t="s">
        <v>394</v>
      </c>
      <c r="G239" t="s">
        <v>371</v>
      </c>
      <c r="H239">
        <v>1</v>
      </c>
      <c r="I239">
        <v>1150</v>
      </c>
      <c r="J239">
        <v>50</v>
      </c>
      <c r="K239">
        <v>1100</v>
      </c>
      <c r="L239">
        <v>700</v>
      </c>
      <c r="M239">
        <v>400</v>
      </c>
      <c r="N239" t="s">
        <v>576</v>
      </c>
      <c r="O239" t="s">
        <v>269</v>
      </c>
      <c r="P239" t="s">
        <v>8</v>
      </c>
      <c r="Q239" t="s">
        <v>568</v>
      </c>
      <c r="R239" s="14">
        <v>0.36363636363636398</v>
      </c>
    </row>
    <row r="240" spans="1:18" hidden="1" x14ac:dyDescent="0.3">
      <c r="A240" t="s">
        <v>815</v>
      </c>
      <c r="B240" s="1">
        <v>46192</v>
      </c>
      <c r="C240" t="s">
        <v>1233</v>
      </c>
      <c r="D240" t="s">
        <v>151</v>
      </c>
      <c r="E240" t="s">
        <v>369</v>
      </c>
      <c r="F240" s="2" t="s">
        <v>370</v>
      </c>
      <c r="G240" t="s">
        <v>371</v>
      </c>
      <c r="H240">
        <v>1</v>
      </c>
      <c r="I240">
        <v>1450</v>
      </c>
      <c r="J240">
        <v>20</v>
      </c>
      <c r="K240">
        <v>1430</v>
      </c>
      <c r="L240">
        <v>900</v>
      </c>
      <c r="M240">
        <v>530</v>
      </c>
      <c r="N240" t="s">
        <v>573</v>
      </c>
      <c r="O240" t="s">
        <v>266</v>
      </c>
      <c r="P240" t="s">
        <v>18</v>
      </c>
      <c r="Q240" t="s">
        <v>585</v>
      </c>
      <c r="R240" s="14">
        <v>0.37062937062937101</v>
      </c>
    </row>
    <row r="241" spans="1:18" hidden="1" x14ac:dyDescent="0.3">
      <c r="A241" t="s">
        <v>816</v>
      </c>
      <c r="B241" s="1">
        <v>46189</v>
      </c>
      <c r="C241" t="s">
        <v>1233</v>
      </c>
      <c r="D241" t="s">
        <v>155</v>
      </c>
      <c r="E241" t="s">
        <v>345</v>
      </c>
      <c r="F241" s="2" t="s">
        <v>346</v>
      </c>
      <c r="G241" t="s">
        <v>347</v>
      </c>
      <c r="H241">
        <v>2</v>
      </c>
      <c r="I241">
        <v>700</v>
      </c>
      <c r="J241">
        <v>75</v>
      </c>
      <c r="K241">
        <v>1325</v>
      </c>
      <c r="L241">
        <v>820</v>
      </c>
      <c r="M241">
        <v>505</v>
      </c>
      <c r="N241" t="s">
        <v>573</v>
      </c>
      <c r="O241" t="s">
        <v>266</v>
      </c>
      <c r="P241" t="s">
        <v>18</v>
      </c>
      <c r="Q241" t="s">
        <v>574</v>
      </c>
      <c r="R241" s="14">
        <v>0.38113207547169797</v>
      </c>
    </row>
    <row r="242" spans="1:18" hidden="1" x14ac:dyDescent="0.3">
      <c r="A242" t="s">
        <v>817</v>
      </c>
      <c r="B242" s="1">
        <v>46071</v>
      </c>
      <c r="C242" t="s">
        <v>1235</v>
      </c>
      <c r="D242" t="s">
        <v>205</v>
      </c>
      <c r="E242" t="s">
        <v>387</v>
      </c>
      <c r="F242" s="2" t="s">
        <v>388</v>
      </c>
      <c r="G242" t="s">
        <v>347</v>
      </c>
      <c r="H242">
        <v>1</v>
      </c>
      <c r="I242">
        <v>850</v>
      </c>
      <c r="J242">
        <v>0</v>
      </c>
      <c r="K242">
        <v>850</v>
      </c>
      <c r="L242">
        <v>520</v>
      </c>
      <c r="M242">
        <v>330</v>
      </c>
      <c r="N242" t="s">
        <v>576</v>
      </c>
      <c r="O242" t="s">
        <v>266</v>
      </c>
      <c r="P242" t="s">
        <v>13</v>
      </c>
      <c r="Q242" t="s">
        <v>568</v>
      </c>
      <c r="R242" s="14">
        <v>0.38823529411764701</v>
      </c>
    </row>
    <row r="243" spans="1:18" hidden="1" x14ac:dyDescent="0.3">
      <c r="A243" t="s">
        <v>818</v>
      </c>
      <c r="B243" s="1">
        <v>46185</v>
      </c>
      <c r="C243" t="s">
        <v>1233</v>
      </c>
      <c r="D243" t="s">
        <v>191</v>
      </c>
      <c r="E243" t="s">
        <v>387</v>
      </c>
      <c r="F243" s="2" t="s">
        <v>388</v>
      </c>
      <c r="G243" t="s">
        <v>347</v>
      </c>
      <c r="H243">
        <v>1</v>
      </c>
      <c r="I243">
        <v>850</v>
      </c>
      <c r="J243">
        <v>0</v>
      </c>
      <c r="K243">
        <v>850</v>
      </c>
      <c r="L243">
        <v>520</v>
      </c>
      <c r="M243">
        <v>330</v>
      </c>
      <c r="N243" t="s">
        <v>570</v>
      </c>
      <c r="O243" t="s">
        <v>266</v>
      </c>
      <c r="P243" t="s">
        <v>13</v>
      </c>
      <c r="Q243" t="s">
        <v>568</v>
      </c>
      <c r="R243" s="14">
        <v>0.38823529411764701</v>
      </c>
    </row>
    <row r="244" spans="1:18" hidden="1" x14ac:dyDescent="0.3">
      <c r="A244" t="s">
        <v>819</v>
      </c>
      <c r="B244" s="1">
        <v>46086</v>
      </c>
      <c r="C244" t="s">
        <v>1230</v>
      </c>
      <c r="D244" t="s">
        <v>77</v>
      </c>
      <c r="E244" t="s">
        <v>366</v>
      </c>
      <c r="F244" s="2" t="s">
        <v>367</v>
      </c>
      <c r="G244" t="s">
        <v>352</v>
      </c>
      <c r="H244">
        <v>1</v>
      </c>
      <c r="I244">
        <v>1500</v>
      </c>
      <c r="J244">
        <v>0</v>
      </c>
      <c r="K244">
        <v>1500</v>
      </c>
      <c r="L244">
        <v>920</v>
      </c>
      <c r="M244">
        <v>580</v>
      </c>
      <c r="N244" t="s">
        <v>567</v>
      </c>
      <c r="O244" t="s">
        <v>266</v>
      </c>
      <c r="P244" t="s">
        <v>18</v>
      </c>
      <c r="Q244" t="s">
        <v>568</v>
      </c>
      <c r="R244" s="14">
        <v>0.38666666666666699</v>
      </c>
    </row>
    <row r="245" spans="1:18" hidden="1" x14ac:dyDescent="0.3">
      <c r="A245" t="s">
        <v>820</v>
      </c>
      <c r="B245" s="1">
        <v>46253</v>
      </c>
      <c r="C245" t="s">
        <v>1236</v>
      </c>
      <c r="D245" t="s">
        <v>55</v>
      </c>
      <c r="E245" t="s">
        <v>366</v>
      </c>
      <c r="F245" s="2" t="s">
        <v>367</v>
      </c>
      <c r="G245" t="s">
        <v>352</v>
      </c>
      <c r="H245">
        <v>2</v>
      </c>
      <c r="I245">
        <v>1500</v>
      </c>
      <c r="J245">
        <v>50</v>
      </c>
      <c r="K245">
        <v>2950</v>
      </c>
      <c r="L245">
        <v>1840</v>
      </c>
      <c r="M245">
        <v>1110</v>
      </c>
      <c r="N245" t="s">
        <v>576</v>
      </c>
      <c r="O245" t="s">
        <v>266</v>
      </c>
      <c r="P245" t="s">
        <v>18</v>
      </c>
      <c r="Q245" t="s">
        <v>574</v>
      </c>
      <c r="R245" s="14">
        <v>0.37627118644067797</v>
      </c>
    </row>
    <row r="246" spans="1:18" x14ac:dyDescent="0.3">
      <c r="A246" t="s">
        <v>821</v>
      </c>
      <c r="B246" s="1">
        <v>46260</v>
      </c>
      <c r="C246" t="s">
        <v>1236</v>
      </c>
      <c r="D246" t="s">
        <v>79</v>
      </c>
      <c r="E246" t="s">
        <v>419</v>
      </c>
      <c r="F246" s="2" t="s">
        <v>420</v>
      </c>
      <c r="G246" t="s">
        <v>362</v>
      </c>
      <c r="H246">
        <v>2</v>
      </c>
      <c r="I246">
        <v>1350</v>
      </c>
      <c r="J246">
        <v>0</v>
      </c>
      <c r="K246">
        <v>2700</v>
      </c>
      <c r="L246">
        <v>1700</v>
      </c>
      <c r="M246">
        <v>1000</v>
      </c>
      <c r="N246" t="s">
        <v>567</v>
      </c>
      <c r="O246" t="s">
        <v>269</v>
      </c>
      <c r="P246" t="s">
        <v>18</v>
      </c>
      <c r="Q246" t="s">
        <v>568</v>
      </c>
      <c r="R246" s="14">
        <v>0.37037037037037002</v>
      </c>
    </row>
    <row r="247" spans="1:18" hidden="1" x14ac:dyDescent="0.3">
      <c r="A247" t="s">
        <v>822</v>
      </c>
      <c r="B247" s="1">
        <v>46218</v>
      </c>
      <c r="C247" t="s">
        <v>1232</v>
      </c>
      <c r="D247" t="s">
        <v>33</v>
      </c>
      <c r="E247" t="s">
        <v>387</v>
      </c>
      <c r="F247" s="2" t="s">
        <v>388</v>
      </c>
      <c r="G247" t="s">
        <v>347</v>
      </c>
      <c r="H247">
        <v>1</v>
      </c>
      <c r="I247">
        <v>850</v>
      </c>
      <c r="J247">
        <v>20</v>
      </c>
      <c r="K247">
        <v>830</v>
      </c>
      <c r="L247">
        <v>520</v>
      </c>
      <c r="M247">
        <v>310</v>
      </c>
      <c r="N247" t="s">
        <v>573</v>
      </c>
      <c r="O247" t="s">
        <v>266</v>
      </c>
      <c r="P247" t="s">
        <v>8</v>
      </c>
      <c r="Q247" t="s">
        <v>574</v>
      </c>
      <c r="R247" s="14">
        <v>0.373493975903614</v>
      </c>
    </row>
    <row r="248" spans="1:18" hidden="1" x14ac:dyDescent="0.3">
      <c r="A248" t="s">
        <v>823</v>
      </c>
      <c r="B248" s="1">
        <v>46252</v>
      </c>
      <c r="C248" t="s">
        <v>1236</v>
      </c>
      <c r="D248" t="s">
        <v>151</v>
      </c>
      <c r="E248" t="s">
        <v>350</v>
      </c>
      <c r="F248" s="2" t="s">
        <v>351</v>
      </c>
      <c r="G248" t="s">
        <v>352</v>
      </c>
      <c r="H248">
        <v>1</v>
      </c>
      <c r="I248">
        <v>900</v>
      </c>
      <c r="J248">
        <v>20</v>
      </c>
      <c r="K248">
        <v>880</v>
      </c>
      <c r="L248">
        <v>540</v>
      </c>
      <c r="M248">
        <v>340</v>
      </c>
      <c r="N248" t="s">
        <v>579</v>
      </c>
      <c r="O248" t="s">
        <v>269</v>
      </c>
      <c r="P248" t="s">
        <v>8</v>
      </c>
      <c r="Q248" t="s">
        <v>568</v>
      </c>
      <c r="R248" s="14">
        <v>0.38636363636363602</v>
      </c>
    </row>
    <row r="249" spans="1:18" hidden="1" x14ac:dyDescent="0.3">
      <c r="A249" t="s">
        <v>824</v>
      </c>
      <c r="B249" s="1">
        <v>46237</v>
      </c>
      <c r="C249" t="s">
        <v>1236</v>
      </c>
      <c r="D249" t="s">
        <v>95</v>
      </c>
      <c r="E249" t="s">
        <v>369</v>
      </c>
      <c r="F249" s="2" t="s">
        <v>370</v>
      </c>
      <c r="G249" t="s">
        <v>371</v>
      </c>
      <c r="H249">
        <v>1</v>
      </c>
      <c r="I249">
        <v>1450</v>
      </c>
      <c r="J249">
        <v>50</v>
      </c>
      <c r="K249">
        <v>1400</v>
      </c>
      <c r="L249">
        <v>900</v>
      </c>
      <c r="M249">
        <v>500</v>
      </c>
      <c r="N249" t="s">
        <v>579</v>
      </c>
      <c r="O249" t="s">
        <v>266</v>
      </c>
      <c r="P249" t="s">
        <v>13</v>
      </c>
      <c r="Q249" t="s">
        <v>571</v>
      </c>
      <c r="R249" s="14">
        <v>0.35714285714285698</v>
      </c>
    </row>
    <row r="250" spans="1:18" x14ac:dyDescent="0.3">
      <c r="A250" t="s">
        <v>825</v>
      </c>
      <c r="B250" s="1">
        <v>46066</v>
      </c>
      <c r="C250" t="s">
        <v>1235</v>
      </c>
      <c r="D250" t="s">
        <v>123</v>
      </c>
      <c r="E250" t="s">
        <v>360</v>
      </c>
      <c r="F250" s="2" t="s">
        <v>361</v>
      </c>
      <c r="G250" t="s">
        <v>362</v>
      </c>
      <c r="H250">
        <v>1</v>
      </c>
      <c r="I250">
        <v>1100</v>
      </c>
      <c r="J250">
        <v>0</v>
      </c>
      <c r="K250">
        <v>1100</v>
      </c>
      <c r="L250">
        <v>680</v>
      </c>
      <c r="M250">
        <v>420</v>
      </c>
      <c r="N250" t="s">
        <v>576</v>
      </c>
      <c r="O250" t="s">
        <v>269</v>
      </c>
      <c r="P250" t="s">
        <v>13</v>
      </c>
      <c r="Q250" t="s">
        <v>574</v>
      </c>
      <c r="R250" s="14">
        <v>0.381818181818182</v>
      </c>
    </row>
    <row r="251" spans="1:18" hidden="1" x14ac:dyDescent="0.3">
      <c r="A251" t="s">
        <v>826</v>
      </c>
      <c r="B251" s="1">
        <v>46212</v>
      </c>
      <c r="C251" t="s">
        <v>1232</v>
      </c>
      <c r="D251" t="s">
        <v>67</v>
      </c>
      <c r="E251" t="s">
        <v>374</v>
      </c>
      <c r="F251" s="2" t="s">
        <v>375</v>
      </c>
      <c r="G251" t="s">
        <v>376</v>
      </c>
      <c r="H251">
        <v>1</v>
      </c>
      <c r="I251">
        <v>800</v>
      </c>
      <c r="J251">
        <v>20</v>
      </c>
      <c r="K251">
        <v>780</v>
      </c>
      <c r="L251">
        <v>470</v>
      </c>
      <c r="M251">
        <v>310</v>
      </c>
      <c r="N251" t="s">
        <v>573</v>
      </c>
      <c r="O251" t="s">
        <v>269</v>
      </c>
      <c r="P251" t="s">
        <v>13</v>
      </c>
      <c r="Q251" t="s">
        <v>568</v>
      </c>
      <c r="R251" s="14">
        <v>0.39743589743589702</v>
      </c>
    </row>
    <row r="252" spans="1:18" hidden="1" x14ac:dyDescent="0.3">
      <c r="A252" t="s">
        <v>827</v>
      </c>
      <c r="B252" s="1">
        <v>46259</v>
      </c>
      <c r="C252" t="s">
        <v>1236</v>
      </c>
      <c r="D252" t="s">
        <v>53</v>
      </c>
      <c r="E252" t="s">
        <v>400</v>
      </c>
      <c r="F252" s="2" t="s">
        <v>401</v>
      </c>
      <c r="G252" t="s">
        <v>384</v>
      </c>
      <c r="H252">
        <v>2</v>
      </c>
      <c r="I252">
        <v>950</v>
      </c>
      <c r="J252">
        <v>100</v>
      </c>
      <c r="K252">
        <v>1800</v>
      </c>
      <c r="L252">
        <v>1140</v>
      </c>
      <c r="M252">
        <v>660</v>
      </c>
      <c r="N252" t="s">
        <v>576</v>
      </c>
      <c r="O252" t="s">
        <v>269</v>
      </c>
      <c r="P252" t="s">
        <v>8</v>
      </c>
      <c r="Q252" t="s">
        <v>571</v>
      </c>
      <c r="R252" s="14">
        <v>0.36666666666666697</v>
      </c>
    </row>
    <row r="253" spans="1:18" hidden="1" x14ac:dyDescent="0.3">
      <c r="A253" t="s">
        <v>828</v>
      </c>
      <c r="B253" s="1">
        <v>46052</v>
      </c>
      <c r="C253" t="s">
        <v>1234</v>
      </c>
      <c r="D253" t="s">
        <v>49</v>
      </c>
      <c r="E253" t="s">
        <v>400</v>
      </c>
      <c r="F253" s="2" t="s">
        <v>401</v>
      </c>
      <c r="G253" t="s">
        <v>384</v>
      </c>
      <c r="H253">
        <v>2</v>
      </c>
      <c r="I253">
        <v>950</v>
      </c>
      <c r="J253">
        <v>0</v>
      </c>
      <c r="K253">
        <v>1900</v>
      </c>
      <c r="L253">
        <v>1140</v>
      </c>
      <c r="M253">
        <v>760</v>
      </c>
      <c r="N253" t="s">
        <v>576</v>
      </c>
      <c r="O253" t="s">
        <v>266</v>
      </c>
      <c r="P253" t="s">
        <v>8</v>
      </c>
      <c r="Q253" t="s">
        <v>568</v>
      </c>
      <c r="R253" s="14">
        <v>0.4</v>
      </c>
    </row>
    <row r="254" spans="1:18" x14ac:dyDescent="0.3">
      <c r="A254" t="s">
        <v>829</v>
      </c>
      <c r="B254" s="1">
        <v>46226</v>
      </c>
      <c r="C254" t="s">
        <v>1232</v>
      </c>
      <c r="D254" t="s">
        <v>83</v>
      </c>
      <c r="E254" t="s">
        <v>360</v>
      </c>
      <c r="F254" s="2" t="s">
        <v>361</v>
      </c>
      <c r="G254" t="s">
        <v>362</v>
      </c>
      <c r="H254">
        <v>3</v>
      </c>
      <c r="I254">
        <v>1100</v>
      </c>
      <c r="J254">
        <v>50</v>
      </c>
      <c r="K254">
        <v>3250</v>
      </c>
      <c r="L254">
        <v>2040</v>
      </c>
      <c r="M254">
        <v>1210</v>
      </c>
      <c r="N254" t="s">
        <v>576</v>
      </c>
      <c r="O254" t="s">
        <v>266</v>
      </c>
      <c r="P254" t="s">
        <v>13</v>
      </c>
      <c r="Q254" t="s">
        <v>568</v>
      </c>
      <c r="R254" s="14">
        <v>0.37230769230769201</v>
      </c>
    </row>
    <row r="255" spans="1:18" hidden="1" x14ac:dyDescent="0.3">
      <c r="A255" t="s">
        <v>830</v>
      </c>
      <c r="B255" s="1">
        <v>46127</v>
      </c>
      <c r="C255" t="s">
        <v>1231</v>
      </c>
      <c r="D255" t="s">
        <v>177</v>
      </c>
      <c r="E255" t="s">
        <v>387</v>
      </c>
      <c r="F255" s="2" t="s">
        <v>388</v>
      </c>
      <c r="G255" t="s">
        <v>347</v>
      </c>
      <c r="H255">
        <v>1</v>
      </c>
      <c r="I255">
        <v>850</v>
      </c>
      <c r="J255">
        <v>0</v>
      </c>
      <c r="K255">
        <v>850</v>
      </c>
      <c r="L255">
        <v>520</v>
      </c>
      <c r="M255">
        <v>330</v>
      </c>
      <c r="N255" t="s">
        <v>579</v>
      </c>
      <c r="O255" t="s">
        <v>269</v>
      </c>
      <c r="P255" t="s">
        <v>13</v>
      </c>
      <c r="Q255" t="s">
        <v>574</v>
      </c>
      <c r="R255" s="14">
        <v>0.38823529411764701</v>
      </c>
    </row>
    <row r="256" spans="1:18" hidden="1" x14ac:dyDescent="0.3">
      <c r="A256" t="s">
        <v>831</v>
      </c>
      <c r="B256" s="1">
        <v>46176</v>
      </c>
      <c r="C256" t="s">
        <v>1233</v>
      </c>
      <c r="D256" t="s">
        <v>143</v>
      </c>
      <c r="E256" t="s">
        <v>393</v>
      </c>
      <c r="F256" s="2" t="s">
        <v>394</v>
      </c>
      <c r="G256" t="s">
        <v>371</v>
      </c>
      <c r="H256">
        <v>2</v>
      </c>
      <c r="I256">
        <v>1150</v>
      </c>
      <c r="J256">
        <v>0</v>
      </c>
      <c r="K256">
        <v>2300</v>
      </c>
      <c r="L256">
        <v>1400</v>
      </c>
      <c r="M256">
        <v>900</v>
      </c>
      <c r="N256" t="s">
        <v>579</v>
      </c>
      <c r="O256" t="s">
        <v>269</v>
      </c>
      <c r="P256" t="s">
        <v>8</v>
      </c>
      <c r="Q256" t="s">
        <v>585</v>
      </c>
      <c r="R256" s="14">
        <v>0.39130434782608697</v>
      </c>
    </row>
    <row r="257" spans="1:18" hidden="1" x14ac:dyDescent="0.3">
      <c r="A257" t="s">
        <v>832</v>
      </c>
      <c r="B257" s="1">
        <v>46256</v>
      </c>
      <c r="C257" t="s">
        <v>1236</v>
      </c>
      <c r="D257" t="s">
        <v>31</v>
      </c>
      <c r="E257" t="s">
        <v>393</v>
      </c>
      <c r="F257" s="2" t="s">
        <v>394</v>
      </c>
      <c r="G257" t="s">
        <v>371</v>
      </c>
      <c r="H257">
        <v>2</v>
      </c>
      <c r="I257">
        <v>1150</v>
      </c>
      <c r="J257">
        <v>20</v>
      </c>
      <c r="K257">
        <v>2280</v>
      </c>
      <c r="L257">
        <v>1400</v>
      </c>
      <c r="M257">
        <v>880</v>
      </c>
      <c r="N257" t="s">
        <v>573</v>
      </c>
      <c r="O257" t="s">
        <v>266</v>
      </c>
      <c r="P257" t="s">
        <v>8</v>
      </c>
      <c r="Q257" t="s">
        <v>585</v>
      </c>
      <c r="R257" s="14">
        <v>0.38596491228070201</v>
      </c>
    </row>
    <row r="258" spans="1:18" hidden="1" x14ac:dyDescent="0.3">
      <c r="A258" t="s">
        <v>833</v>
      </c>
      <c r="B258" s="1">
        <v>46228</v>
      </c>
      <c r="C258" t="s">
        <v>1232</v>
      </c>
      <c r="D258" t="s">
        <v>19</v>
      </c>
      <c r="E258" t="s">
        <v>415</v>
      </c>
      <c r="F258" s="2" t="s">
        <v>416</v>
      </c>
      <c r="G258" t="s">
        <v>347</v>
      </c>
      <c r="H258">
        <v>2</v>
      </c>
      <c r="I258">
        <v>1250</v>
      </c>
      <c r="J258">
        <v>20</v>
      </c>
      <c r="K258">
        <v>2480</v>
      </c>
      <c r="L258">
        <v>1520</v>
      </c>
      <c r="M258">
        <v>960</v>
      </c>
      <c r="N258" t="s">
        <v>570</v>
      </c>
      <c r="O258" t="s">
        <v>266</v>
      </c>
      <c r="P258" t="s">
        <v>18</v>
      </c>
      <c r="Q258" t="s">
        <v>568</v>
      </c>
      <c r="R258" s="14">
        <v>0.38709677419354799</v>
      </c>
    </row>
    <row r="259" spans="1:18" hidden="1" x14ac:dyDescent="0.3">
      <c r="A259" t="s">
        <v>834</v>
      </c>
      <c r="B259" s="1">
        <v>46113</v>
      </c>
      <c r="C259" t="s">
        <v>1231</v>
      </c>
      <c r="D259" t="s">
        <v>9</v>
      </c>
      <c r="E259" t="s">
        <v>382</v>
      </c>
      <c r="F259" s="2" t="s">
        <v>383</v>
      </c>
      <c r="G259" t="s">
        <v>384</v>
      </c>
      <c r="H259">
        <v>1</v>
      </c>
      <c r="I259">
        <v>1200</v>
      </c>
      <c r="J259">
        <v>0</v>
      </c>
      <c r="K259">
        <v>1200</v>
      </c>
      <c r="L259">
        <v>730</v>
      </c>
      <c r="M259">
        <v>470</v>
      </c>
      <c r="N259" t="s">
        <v>570</v>
      </c>
      <c r="O259" t="s">
        <v>266</v>
      </c>
      <c r="P259" t="s">
        <v>8</v>
      </c>
      <c r="Q259" t="s">
        <v>571</v>
      </c>
      <c r="R259" s="14">
        <v>0.391666666666667</v>
      </c>
    </row>
    <row r="260" spans="1:18" hidden="1" x14ac:dyDescent="0.3">
      <c r="A260" t="s">
        <v>835</v>
      </c>
      <c r="B260" s="1">
        <v>46076</v>
      </c>
      <c r="C260" t="s">
        <v>1235</v>
      </c>
      <c r="D260" t="s">
        <v>73</v>
      </c>
      <c r="E260" t="s">
        <v>369</v>
      </c>
      <c r="F260" s="2" t="s">
        <v>370</v>
      </c>
      <c r="G260" t="s">
        <v>371</v>
      </c>
      <c r="H260">
        <v>2</v>
      </c>
      <c r="I260">
        <v>1450</v>
      </c>
      <c r="J260">
        <v>0</v>
      </c>
      <c r="K260">
        <v>2900</v>
      </c>
      <c r="L260">
        <v>1800</v>
      </c>
      <c r="M260">
        <v>1100</v>
      </c>
      <c r="N260" t="s">
        <v>576</v>
      </c>
      <c r="O260" t="s">
        <v>269</v>
      </c>
      <c r="P260" t="s">
        <v>8</v>
      </c>
      <c r="Q260" t="s">
        <v>568</v>
      </c>
      <c r="R260" s="14">
        <v>0.37931034482758602</v>
      </c>
    </row>
    <row r="261" spans="1:18" x14ac:dyDescent="0.3">
      <c r="A261" t="s">
        <v>836</v>
      </c>
      <c r="B261" s="1">
        <v>46249</v>
      </c>
      <c r="C261" t="s">
        <v>1236</v>
      </c>
      <c r="D261" t="s">
        <v>89</v>
      </c>
      <c r="E261" t="s">
        <v>419</v>
      </c>
      <c r="F261" s="2" t="s">
        <v>420</v>
      </c>
      <c r="G261" t="s">
        <v>362</v>
      </c>
      <c r="H261">
        <v>2</v>
      </c>
      <c r="I261">
        <v>1350</v>
      </c>
      <c r="J261">
        <v>0</v>
      </c>
      <c r="K261">
        <v>2700</v>
      </c>
      <c r="L261">
        <v>1700</v>
      </c>
      <c r="M261">
        <v>1000</v>
      </c>
      <c r="N261" t="s">
        <v>573</v>
      </c>
      <c r="O261" t="s">
        <v>269</v>
      </c>
      <c r="P261" t="s">
        <v>13</v>
      </c>
      <c r="Q261" t="s">
        <v>568</v>
      </c>
      <c r="R261" s="14">
        <v>0.37037037037037002</v>
      </c>
    </row>
    <row r="262" spans="1:18" hidden="1" x14ac:dyDescent="0.3">
      <c r="A262" t="s">
        <v>837</v>
      </c>
      <c r="B262" s="1">
        <v>46090</v>
      </c>
      <c r="C262" t="s">
        <v>1230</v>
      </c>
      <c r="D262" t="s">
        <v>97</v>
      </c>
      <c r="E262" t="s">
        <v>341</v>
      </c>
      <c r="F262" s="2" t="s">
        <v>342</v>
      </c>
      <c r="G262" t="s">
        <v>343</v>
      </c>
      <c r="H262">
        <v>1</v>
      </c>
      <c r="I262">
        <v>750</v>
      </c>
      <c r="J262">
        <v>0</v>
      </c>
      <c r="K262">
        <v>750</v>
      </c>
      <c r="L262">
        <v>430</v>
      </c>
      <c r="M262">
        <v>320</v>
      </c>
      <c r="N262" t="s">
        <v>576</v>
      </c>
      <c r="O262" t="s">
        <v>266</v>
      </c>
      <c r="P262" t="s">
        <v>13</v>
      </c>
      <c r="Q262" t="s">
        <v>585</v>
      </c>
      <c r="R262" s="14">
        <v>0.42666666666666703</v>
      </c>
    </row>
    <row r="263" spans="1:18" hidden="1" x14ac:dyDescent="0.3">
      <c r="A263" t="s">
        <v>838</v>
      </c>
      <c r="B263" s="1">
        <v>46156</v>
      </c>
      <c r="C263" t="s">
        <v>1237</v>
      </c>
      <c r="D263" t="s">
        <v>71</v>
      </c>
      <c r="E263" t="s">
        <v>355</v>
      </c>
      <c r="F263" s="2" t="s">
        <v>356</v>
      </c>
      <c r="G263" t="s">
        <v>343</v>
      </c>
      <c r="H263">
        <v>1</v>
      </c>
      <c r="I263">
        <v>550</v>
      </c>
      <c r="J263">
        <v>0</v>
      </c>
      <c r="K263">
        <v>550</v>
      </c>
      <c r="L263">
        <v>300</v>
      </c>
      <c r="M263">
        <v>250</v>
      </c>
      <c r="N263" t="s">
        <v>567</v>
      </c>
      <c r="O263" t="s">
        <v>269</v>
      </c>
      <c r="P263" t="s">
        <v>8</v>
      </c>
      <c r="Q263" t="s">
        <v>574</v>
      </c>
      <c r="R263" s="14">
        <v>0.45454545454545398</v>
      </c>
    </row>
    <row r="264" spans="1:18" x14ac:dyDescent="0.3">
      <c r="A264" t="s">
        <v>839</v>
      </c>
      <c r="B264" s="1">
        <v>46233</v>
      </c>
      <c r="C264" t="s">
        <v>1232</v>
      </c>
      <c r="D264" t="s">
        <v>75</v>
      </c>
      <c r="E264" t="s">
        <v>360</v>
      </c>
      <c r="F264" s="2" t="s">
        <v>361</v>
      </c>
      <c r="G264" t="s">
        <v>362</v>
      </c>
      <c r="H264">
        <v>1</v>
      </c>
      <c r="I264">
        <v>1100</v>
      </c>
      <c r="J264">
        <v>0</v>
      </c>
      <c r="K264">
        <v>1100</v>
      </c>
      <c r="L264">
        <v>680</v>
      </c>
      <c r="M264">
        <v>420</v>
      </c>
      <c r="N264" t="s">
        <v>579</v>
      </c>
      <c r="O264" t="s">
        <v>269</v>
      </c>
      <c r="P264" t="s">
        <v>8</v>
      </c>
      <c r="Q264" t="s">
        <v>574</v>
      </c>
      <c r="R264" s="14">
        <v>0.381818181818182</v>
      </c>
    </row>
    <row r="265" spans="1:18" hidden="1" x14ac:dyDescent="0.3">
      <c r="A265" t="s">
        <v>840</v>
      </c>
      <c r="B265" s="1">
        <v>46223</v>
      </c>
      <c r="C265" t="s">
        <v>1232</v>
      </c>
      <c r="D265" t="s">
        <v>181</v>
      </c>
      <c r="E265" t="s">
        <v>345</v>
      </c>
      <c r="F265" s="2" t="s">
        <v>346</v>
      </c>
      <c r="G265" t="s">
        <v>347</v>
      </c>
      <c r="H265">
        <v>1</v>
      </c>
      <c r="I265">
        <v>700</v>
      </c>
      <c r="J265">
        <v>50</v>
      </c>
      <c r="K265">
        <v>650</v>
      </c>
      <c r="L265">
        <v>410</v>
      </c>
      <c r="M265">
        <v>240</v>
      </c>
      <c r="N265" t="s">
        <v>570</v>
      </c>
      <c r="O265" t="s">
        <v>269</v>
      </c>
      <c r="P265" t="s">
        <v>18</v>
      </c>
      <c r="Q265" t="s">
        <v>568</v>
      </c>
      <c r="R265" s="14">
        <v>0.36923076923076897</v>
      </c>
    </row>
    <row r="266" spans="1:18" hidden="1" x14ac:dyDescent="0.3">
      <c r="A266" t="s">
        <v>841</v>
      </c>
      <c r="B266" s="1">
        <v>46102</v>
      </c>
      <c r="C266" t="s">
        <v>1230</v>
      </c>
      <c r="D266" t="s">
        <v>39</v>
      </c>
      <c r="E266" t="s">
        <v>350</v>
      </c>
      <c r="F266" s="2" t="s">
        <v>351</v>
      </c>
      <c r="G266" t="s">
        <v>352</v>
      </c>
      <c r="H266">
        <v>1</v>
      </c>
      <c r="I266">
        <v>900</v>
      </c>
      <c r="J266">
        <v>0</v>
      </c>
      <c r="K266">
        <v>900</v>
      </c>
      <c r="L266">
        <v>540</v>
      </c>
      <c r="M266">
        <v>360</v>
      </c>
      <c r="N266" t="s">
        <v>576</v>
      </c>
      <c r="O266" t="s">
        <v>269</v>
      </c>
      <c r="P266" t="s">
        <v>18</v>
      </c>
      <c r="Q266" t="s">
        <v>568</v>
      </c>
      <c r="R266" s="14">
        <v>0.4</v>
      </c>
    </row>
    <row r="267" spans="1:18" hidden="1" x14ac:dyDescent="0.3">
      <c r="A267" t="s">
        <v>842</v>
      </c>
      <c r="B267" s="1">
        <v>46074</v>
      </c>
      <c r="C267" t="s">
        <v>1235</v>
      </c>
      <c r="D267" t="s">
        <v>79</v>
      </c>
      <c r="E267" t="s">
        <v>341</v>
      </c>
      <c r="F267" s="2" t="s">
        <v>342</v>
      </c>
      <c r="G267" t="s">
        <v>343</v>
      </c>
      <c r="H267">
        <v>2</v>
      </c>
      <c r="I267">
        <v>750</v>
      </c>
      <c r="J267">
        <v>0</v>
      </c>
      <c r="K267">
        <v>1500</v>
      </c>
      <c r="L267">
        <v>860</v>
      </c>
      <c r="M267">
        <v>640</v>
      </c>
      <c r="N267" t="s">
        <v>576</v>
      </c>
      <c r="O267" t="s">
        <v>266</v>
      </c>
      <c r="P267" t="s">
        <v>18</v>
      </c>
      <c r="Q267" t="s">
        <v>585</v>
      </c>
      <c r="R267" s="14">
        <v>0.42666666666666703</v>
      </c>
    </row>
    <row r="268" spans="1:18" hidden="1" x14ac:dyDescent="0.3">
      <c r="A268" t="s">
        <v>843</v>
      </c>
      <c r="B268" s="1">
        <v>46249</v>
      </c>
      <c r="C268" t="s">
        <v>1236</v>
      </c>
      <c r="D268" t="s">
        <v>21</v>
      </c>
      <c r="E268" t="s">
        <v>341</v>
      </c>
      <c r="F268" s="2" t="s">
        <v>342</v>
      </c>
      <c r="G268" t="s">
        <v>343</v>
      </c>
      <c r="H268">
        <v>3</v>
      </c>
      <c r="I268">
        <v>750</v>
      </c>
      <c r="J268">
        <v>20</v>
      </c>
      <c r="K268">
        <v>2230</v>
      </c>
      <c r="L268">
        <v>1290</v>
      </c>
      <c r="M268">
        <v>940</v>
      </c>
      <c r="N268" t="s">
        <v>570</v>
      </c>
      <c r="O268" t="s">
        <v>266</v>
      </c>
      <c r="P268" t="s">
        <v>8</v>
      </c>
      <c r="Q268" t="s">
        <v>585</v>
      </c>
      <c r="R268" s="14">
        <v>0.42152466367712998</v>
      </c>
    </row>
    <row r="269" spans="1:18" hidden="1" x14ac:dyDescent="0.3">
      <c r="A269" t="s">
        <v>844</v>
      </c>
      <c r="B269" s="1">
        <v>46205</v>
      </c>
      <c r="C269" t="s">
        <v>1232</v>
      </c>
      <c r="D269" t="s">
        <v>9</v>
      </c>
      <c r="E269" t="s">
        <v>341</v>
      </c>
      <c r="F269" s="2" t="s">
        <v>342</v>
      </c>
      <c r="G269" t="s">
        <v>343</v>
      </c>
      <c r="H269">
        <v>1</v>
      </c>
      <c r="I269">
        <v>750</v>
      </c>
      <c r="J269">
        <v>100</v>
      </c>
      <c r="K269">
        <v>650</v>
      </c>
      <c r="L269">
        <v>430</v>
      </c>
      <c r="M269">
        <v>220</v>
      </c>
      <c r="N269" t="s">
        <v>570</v>
      </c>
      <c r="O269" t="s">
        <v>269</v>
      </c>
      <c r="P269" t="s">
        <v>8</v>
      </c>
      <c r="Q269" t="s">
        <v>585</v>
      </c>
      <c r="R269" s="14">
        <v>0.33846153846153798</v>
      </c>
    </row>
    <row r="270" spans="1:18" hidden="1" x14ac:dyDescent="0.3">
      <c r="A270" t="s">
        <v>845</v>
      </c>
      <c r="B270" s="1">
        <v>46189</v>
      </c>
      <c r="C270" t="s">
        <v>1233</v>
      </c>
      <c r="D270" t="s">
        <v>16</v>
      </c>
      <c r="E270" t="s">
        <v>341</v>
      </c>
      <c r="F270" s="2" t="s">
        <v>342</v>
      </c>
      <c r="G270" t="s">
        <v>343</v>
      </c>
      <c r="H270">
        <v>2</v>
      </c>
      <c r="I270">
        <v>750</v>
      </c>
      <c r="J270">
        <v>0</v>
      </c>
      <c r="K270">
        <v>1500</v>
      </c>
      <c r="L270">
        <v>860</v>
      </c>
      <c r="M270">
        <v>640</v>
      </c>
      <c r="N270" t="s">
        <v>573</v>
      </c>
      <c r="O270" t="s">
        <v>269</v>
      </c>
      <c r="P270" t="s">
        <v>13</v>
      </c>
      <c r="Q270" t="s">
        <v>585</v>
      </c>
      <c r="R270" s="14">
        <v>0.42666666666666703</v>
      </c>
    </row>
    <row r="271" spans="1:18" hidden="1" x14ac:dyDescent="0.3">
      <c r="A271" t="s">
        <v>846</v>
      </c>
      <c r="B271" s="1">
        <v>46195</v>
      </c>
      <c r="C271" t="s">
        <v>1233</v>
      </c>
      <c r="D271" t="s">
        <v>71</v>
      </c>
      <c r="E271" t="s">
        <v>366</v>
      </c>
      <c r="F271" s="2" t="s">
        <v>367</v>
      </c>
      <c r="G271" t="s">
        <v>352</v>
      </c>
      <c r="H271">
        <v>4</v>
      </c>
      <c r="I271">
        <v>1500</v>
      </c>
      <c r="J271">
        <v>75</v>
      </c>
      <c r="K271">
        <v>5925</v>
      </c>
      <c r="L271">
        <v>3680</v>
      </c>
      <c r="M271">
        <v>2245</v>
      </c>
      <c r="N271" t="s">
        <v>576</v>
      </c>
      <c r="O271" t="s">
        <v>269</v>
      </c>
      <c r="P271" t="s">
        <v>18</v>
      </c>
      <c r="Q271" t="s">
        <v>568</v>
      </c>
      <c r="R271" s="14">
        <v>0.378902953586498</v>
      </c>
    </row>
    <row r="272" spans="1:18" hidden="1" x14ac:dyDescent="0.3">
      <c r="A272" t="s">
        <v>847</v>
      </c>
      <c r="B272" s="1">
        <v>46205</v>
      </c>
      <c r="C272" t="s">
        <v>1232</v>
      </c>
      <c r="D272" t="s">
        <v>241</v>
      </c>
      <c r="E272" t="s">
        <v>393</v>
      </c>
      <c r="F272" s="2" t="s">
        <v>394</v>
      </c>
      <c r="G272" t="s">
        <v>371</v>
      </c>
      <c r="H272">
        <v>1</v>
      </c>
      <c r="I272">
        <v>1150</v>
      </c>
      <c r="J272">
        <v>75</v>
      </c>
      <c r="K272">
        <v>1075</v>
      </c>
      <c r="L272">
        <v>700</v>
      </c>
      <c r="M272">
        <v>375</v>
      </c>
      <c r="N272" t="s">
        <v>579</v>
      </c>
      <c r="O272" t="s">
        <v>266</v>
      </c>
      <c r="P272" t="s">
        <v>8</v>
      </c>
      <c r="Q272" t="s">
        <v>568</v>
      </c>
      <c r="R272" s="14">
        <v>0.34883720930232598</v>
      </c>
    </row>
    <row r="273" spans="1:18" hidden="1" x14ac:dyDescent="0.3">
      <c r="A273" t="s">
        <v>848</v>
      </c>
      <c r="B273" s="1">
        <v>46243</v>
      </c>
      <c r="C273" t="s">
        <v>1236</v>
      </c>
      <c r="D273" t="s">
        <v>111</v>
      </c>
      <c r="E273" t="s">
        <v>350</v>
      </c>
      <c r="F273" s="2" t="s">
        <v>351</v>
      </c>
      <c r="G273" t="s">
        <v>352</v>
      </c>
      <c r="H273">
        <v>2</v>
      </c>
      <c r="I273">
        <v>900</v>
      </c>
      <c r="J273">
        <v>75</v>
      </c>
      <c r="K273">
        <v>1725</v>
      </c>
      <c r="L273">
        <v>1080</v>
      </c>
      <c r="M273">
        <v>645</v>
      </c>
      <c r="N273" t="s">
        <v>567</v>
      </c>
      <c r="O273" t="s">
        <v>266</v>
      </c>
      <c r="P273" t="s">
        <v>8</v>
      </c>
      <c r="Q273" t="s">
        <v>585</v>
      </c>
      <c r="R273" s="14">
        <v>0.37391304347826099</v>
      </c>
    </row>
    <row r="274" spans="1:18" hidden="1" x14ac:dyDescent="0.3">
      <c r="A274" t="s">
        <v>849</v>
      </c>
      <c r="B274" s="1">
        <v>46142</v>
      </c>
      <c r="C274" t="s">
        <v>1231</v>
      </c>
      <c r="D274" t="s">
        <v>25</v>
      </c>
      <c r="E274" t="s">
        <v>366</v>
      </c>
      <c r="F274" s="2" t="s">
        <v>367</v>
      </c>
      <c r="G274" t="s">
        <v>352</v>
      </c>
      <c r="H274">
        <v>1</v>
      </c>
      <c r="I274">
        <v>1500</v>
      </c>
      <c r="J274">
        <v>0</v>
      </c>
      <c r="K274">
        <v>1500</v>
      </c>
      <c r="L274">
        <v>920</v>
      </c>
      <c r="M274">
        <v>580</v>
      </c>
      <c r="N274" t="s">
        <v>573</v>
      </c>
      <c r="O274" t="s">
        <v>269</v>
      </c>
      <c r="P274" t="s">
        <v>8</v>
      </c>
      <c r="Q274" t="s">
        <v>568</v>
      </c>
      <c r="R274" s="14">
        <v>0.38666666666666699</v>
      </c>
    </row>
    <row r="275" spans="1:18" hidden="1" x14ac:dyDescent="0.3">
      <c r="A275" t="s">
        <v>850</v>
      </c>
      <c r="B275" s="1">
        <v>46210</v>
      </c>
      <c r="C275" t="s">
        <v>1232</v>
      </c>
      <c r="D275" t="s">
        <v>215</v>
      </c>
      <c r="E275" t="s">
        <v>366</v>
      </c>
      <c r="F275" s="2" t="s">
        <v>367</v>
      </c>
      <c r="G275" t="s">
        <v>352</v>
      </c>
      <c r="H275">
        <v>1</v>
      </c>
      <c r="I275">
        <v>1500</v>
      </c>
      <c r="J275">
        <v>100</v>
      </c>
      <c r="K275">
        <v>1400</v>
      </c>
      <c r="L275">
        <v>920</v>
      </c>
      <c r="M275">
        <v>480</v>
      </c>
      <c r="N275" t="s">
        <v>567</v>
      </c>
      <c r="O275" t="s">
        <v>266</v>
      </c>
      <c r="P275" t="s">
        <v>18</v>
      </c>
      <c r="Q275" t="s">
        <v>574</v>
      </c>
      <c r="R275" s="14">
        <v>0.34285714285714303</v>
      </c>
    </row>
    <row r="276" spans="1:18" hidden="1" x14ac:dyDescent="0.3">
      <c r="A276" t="s">
        <v>851</v>
      </c>
      <c r="B276" s="1">
        <v>46101</v>
      </c>
      <c r="C276" t="s">
        <v>1230</v>
      </c>
      <c r="D276" t="s">
        <v>41</v>
      </c>
      <c r="E276" t="s">
        <v>400</v>
      </c>
      <c r="F276" s="2" t="s">
        <v>401</v>
      </c>
      <c r="G276" t="s">
        <v>384</v>
      </c>
      <c r="H276">
        <v>3</v>
      </c>
      <c r="I276">
        <v>950</v>
      </c>
      <c r="J276">
        <v>50</v>
      </c>
      <c r="K276">
        <v>2800</v>
      </c>
      <c r="L276">
        <v>1710</v>
      </c>
      <c r="M276">
        <v>1090</v>
      </c>
      <c r="N276" t="s">
        <v>576</v>
      </c>
      <c r="O276" t="s">
        <v>269</v>
      </c>
      <c r="P276" t="s">
        <v>13</v>
      </c>
      <c r="Q276" t="s">
        <v>568</v>
      </c>
      <c r="R276" s="14">
        <v>0.38928571428571401</v>
      </c>
    </row>
    <row r="277" spans="1:18" hidden="1" x14ac:dyDescent="0.3">
      <c r="A277" t="s">
        <v>852</v>
      </c>
      <c r="B277" s="1">
        <v>46099</v>
      </c>
      <c r="C277" t="s">
        <v>1230</v>
      </c>
      <c r="D277" t="s">
        <v>151</v>
      </c>
      <c r="E277" t="s">
        <v>350</v>
      </c>
      <c r="F277" s="2" t="s">
        <v>351</v>
      </c>
      <c r="G277" t="s">
        <v>352</v>
      </c>
      <c r="H277">
        <v>1</v>
      </c>
      <c r="I277">
        <v>900</v>
      </c>
      <c r="J277">
        <v>50</v>
      </c>
      <c r="K277">
        <v>850</v>
      </c>
      <c r="L277">
        <v>540</v>
      </c>
      <c r="M277">
        <v>310</v>
      </c>
      <c r="N277" t="s">
        <v>573</v>
      </c>
      <c r="O277" t="s">
        <v>269</v>
      </c>
      <c r="P277" t="s">
        <v>18</v>
      </c>
      <c r="Q277" t="s">
        <v>574</v>
      </c>
      <c r="R277" s="14">
        <v>0.36470588235294099</v>
      </c>
    </row>
    <row r="278" spans="1:18" hidden="1" x14ac:dyDescent="0.3">
      <c r="A278" t="s">
        <v>853</v>
      </c>
      <c r="B278" s="1">
        <v>46155</v>
      </c>
      <c r="C278" t="s">
        <v>1237</v>
      </c>
      <c r="D278" t="s">
        <v>47</v>
      </c>
      <c r="E278" t="s">
        <v>415</v>
      </c>
      <c r="F278" s="2" t="s">
        <v>416</v>
      </c>
      <c r="G278" t="s">
        <v>347</v>
      </c>
      <c r="H278">
        <v>1</v>
      </c>
      <c r="I278">
        <v>1250</v>
      </c>
      <c r="J278">
        <v>0</v>
      </c>
      <c r="K278">
        <v>1250</v>
      </c>
      <c r="L278">
        <v>760</v>
      </c>
      <c r="M278">
        <v>490</v>
      </c>
      <c r="N278" t="s">
        <v>567</v>
      </c>
      <c r="O278" t="s">
        <v>266</v>
      </c>
      <c r="P278" t="s">
        <v>8</v>
      </c>
      <c r="Q278" t="s">
        <v>574</v>
      </c>
      <c r="R278" s="14">
        <v>0.39200000000000002</v>
      </c>
    </row>
    <row r="279" spans="1:18" hidden="1" x14ac:dyDescent="0.3">
      <c r="A279" t="s">
        <v>854</v>
      </c>
      <c r="B279" s="1">
        <v>46157</v>
      </c>
      <c r="C279" t="s">
        <v>1237</v>
      </c>
      <c r="D279" t="s">
        <v>237</v>
      </c>
      <c r="E279" t="s">
        <v>355</v>
      </c>
      <c r="F279" s="2" t="s">
        <v>356</v>
      </c>
      <c r="G279" t="s">
        <v>343</v>
      </c>
      <c r="H279">
        <v>1</v>
      </c>
      <c r="I279">
        <v>550</v>
      </c>
      <c r="J279">
        <v>50</v>
      </c>
      <c r="K279">
        <v>500</v>
      </c>
      <c r="L279">
        <v>300</v>
      </c>
      <c r="M279">
        <v>200</v>
      </c>
      <c r="N279" t="s">
        <v>576</v>
      </c>
      <c r="O279" t="s">
        <v>269</v>
      </c>
      <c r="P279" t="s">
        <v>18</v>
      </c>
      <c r="Q279" t="s">
        <v>568</v>
      </c>
      <c r="R279" s="14">
        <v>0.4</v>
      </c>
    </row>
    <row r="280" spans="1:18" hidden="1" x14ac:dyDescent="0.3">
      <c r="A280" t="s">
        <v>855</v>
      </c>
      <c r="B280" s="1">
        <v>46086</v>
      </c>
      <c r="C280" t="s">
        <v>1230</v>
      </c>
      <c r="D280" t="s">
        <v>27</v>
      </c>
      <c r="E280" t="s">
        <v>341</v>
      </c>
      <c r="F280" s="2" t="s">
        <v>342</v>
      </c>
      <c r="G280" t="s">
        <v>343</v>
      </c>
      <c r="H280">
        <v>2</v>
      </c>
      <c r="I280">
        <v>750</v>
      </c>
      <c r="J280">
        <v>50</v>
      </c>
      <c r="K280">
        <v>1450</v>
      </c>
      <c r="L280">
        <v>860</v>
      </c>
      <c r="M280">
        <v>590</v>
      </c>
      <c r="N280" t="s">
        <v>576</v>
      </c>
      <c r="O280" t="s">
        <v>269</v>
      </c>
      <c r="P280" t="s">
        <v>18</v>
      </c>
      <c r="Q280" t="s">
        <v>585</v>
      </c>
      <c r="R280" s="14">
        <v>0.40689655172413802</v>
      </c>
    </row>
    <row r="281" spans="1:18" hidden="1" x14ac:dyDescent="0.3">
      <c r="A281" t="s">
        <v>856</v>
      </c>
      <c r="B281" s="1">
        <v>46200</v>
      </c>
      <c r="C281" t="s">
        <v>1233</v>
      </c>
      <c r="D281" t="s">
        <v>141</v>
      </c>
      <c r="E281" t="s">
        <v>400</v>
      </c>
      <c r="F281" s="2" t="s">
        <v>401</v>
      </c>
      <c r="G281" t="s">
        <v>384</v>
      </c>
      <c r="H281">
        <v>2</v>
      </c>
      <c r="I281">
        <v>950</v>
      </c>
      <c r="J281">
        <v>20</v>
      </c>
      <c r="K281">
        <v>1880</v>
      </c>
      <c r="L281">
        <v>1140</v>
      </c>
      <c r="M281">
        <v>740</v>
      </c>
      <c r="N281" t="s">
        <v>573</v>
      </c>
      <c r="O281" t="s">
        <v>266</v>
      </c>
      <c r="P281" t="s">
        <v>8</v>
      </c>
      <c r="Q281" t="s">
        <v>568</v>
      </c>
      <c r="R281" s="14">
        <v>0.39361702127659598</v>
      </c>
    </row>
    <row r="282" spans="1:18" hidden="1" x14ac:dyDescent="0.3">
      <c r="A282" t="s">
        <v>857</v>
      </c>
      <c r="B282" s="1">
        <v>46212</v>
      </c>
      <c r="C282" t="s">
        <v>1232</v>
      </c>
      <c r="D282" t="s">
        <v>235</v>
      </c>
      <c r="E282" t="s">
        <v>382</v>
      </c>
      <c r="F282" s="2" t="s">
        <v>383</v>
      </c>
      <c r="G282" t="s">
        <v>384</v>
      </c>
      <c r="H282">
        <v>2</v>
      </c>
      <c r="I282">
        <v>1200</v>
      </c>
      <c r="J282">
        <v>20</v>
      </c>
      <c r="K282">
        <v>2380</v>
      </c>
      <c r="L282">
        <v>1460</v>
      </c>
      <c r="M282">
        <v>920</v>
      </c>
      <c r="N282" t="s">
        <v>579</v>
      </c>
      <c r="O282" t="s">
        <v>269</v>
      </c>
      <c r="P282" t="s">
        <v>18</v>
      </c>
      <c r="Q282" t="s">
        <v>571</v>
      </c>
      <c r="R282" s="14">
        <v>0.38655462184874001</v>
      </c>
    </row>
    <row r="283" spans="1:18" x14ac:dyDescent="0.3">
      <c r="A283" t="s">
        <v>858</v>
      </c>
      <c r="B283" s="1">
        <v>46166</v>
      </c>
      <c r="C283" t="s">
        <v>1237</v>
      </c>
      <c r="D283" t="s">
        <v>71</v>
      </c>
      <c r="E283" t="s">
        <v>419</v>
      </c>
      <c r="F283" s="2" t="s">
        <v>420</v>
      </c>
      <c r="G283" t="s">
        <v>362</v>
      </c>
      <c r="H283">
        <v>1</v>
      </c>
      <c r="I283">
        <v>1350</v>
      </c>
      <c r="J283">
        <v>100</v>
      </c>
      <c r="K283">
        <v>1250</v>
      </c>
      <c r="L283">
        <v>850</v>
      </c>
      <c r="M283">
        <v>400</v>
      </c>
      <c r="N283" t="s">
        <v>576</v>
      </c>
      <c r="O283" t="s">
        <v>266</v>
      </c>
      <c r="P283" t="s">
        <v>18</v>
      </c>
      <c r="Q283" t="s">
        <v>568</v>
      </c>
      <c r="R283" s="14">
        <v>0.32</v>
      </c>
    </row>
    <row r="284" spans="1:18" hidden="1" x14ac:dyDescent="0.3">
      <c r="A284" t="s">
        <v>859</v>
      </c>
      <c r="B284" s="1">
        <v>46175</v>
      </c>
      <c r="C284" t="s">
        <v>1233</v>
      </c>
      <c r="D284" t="s">
        <v>215</v>
      </c>
      <c r="E284" t="s">
        <v>387</v>
      </c>
      <c r="F284" s="2" t="s">
        <v>388</v>
      </c>
      <c r="G284" t="s">
        <v>347</v>
      </c>
      <c r="H284">
        <v>3</v>
      </c>
      <c r="I284">
        <v>850</v>
      </c>
      <c r="J284">
        <v>0</v>
      </c>
      <c r="K284">
        <v>2550</v>
      </c>
      <c r="L284">
        <v>1560</v>
      </c>
      <c r="M284">
        <v>990</v>
      </c>
      <c r="N284" t="s">
        <v>570</v>
      </c>
      <c r="O284" t="s">
        <v>266</v>
      </c>
      <c r="P284" t="s">
        <v>8</v>
      </c>
      <c r="Q284" t="s">
        <v>574</v>
      </c>
      <c r="R284" s="14">
        <v>0.38823529411764701</v>
      </c>
    </row>
    <row r="285" spans="1:18" x14ac:dyDescent="0.3">
      <c r="A285" t="s">
        <v>860</v>
      </c>
      <c r="B285" s="1">
        <v>46194</v>
      </c>
      <c r="C285" t="s">
        <v>1233</v>
      </c>
      <c r="D285" t="s">
        <v>71</v>
      </c>
      <c r="E285" t="s">
        <v>419</v>
      </c>
      <c r="F285" s="2" t="s">
        <v>420</v>
      </c>
      <c r="G285" t="s">
        <v>362</v>
      </c>
      <c r="H285">
        <v>1</v>
      </c>
      <c r="I285">
        <v>1350</v>
      </c>
      <c r="J285">
        <v>100</v>
      </c>
      <c r="K285">
        <v>1250</v>
      </c>
      <c r="L285">
        <v>850</v>
      </c>
      <c r="M285">
        <v>400</v>
      </c>
      <c r="N285" t="s">
        <v>570</v>
      </c>
      <c r="O285" t="s">
        <v>266</v>
      </c>
      <c r="P285" t="s">
        <v>13</v>
      </c>
      <c r="Q285" t="s">
        <v>574</v>
      </c>
      <c r="R285" s="14">
        <v>0.32</v>
      </c>
    </row>
    <row r="286" spans="1:18" hidden="1" x14ac:dyDescent="0.3">
      <c r="A286" t="s">
        <v>861</v>
      </c>
      <c r="B286" s="1">
        <v>46061</v>
      </c>
      <c r="C286" t="s">
        <v>1235</v>
      </c>
      <c r="D286" t="s">
        <v>233</v>
      </c>
      <c r="E286" t="s">
        <v>415</v>
      </c>
      <c r="F286" s="2" t="s">
        <v>416</v>
      </c>
      <c r="G286" t="s">
        <v>347</v>
      </c>
      <c r="H286">
        <v>2</v>
      </c>
      <c r="I286">
        <v>1250</v>
      </c>
      <c r="J286">
        <v>0</v>
      </c>
      <c r="K286">
        <v>2500</v>
      </c>
      <c r="L286">
        <v>1520</v>
      </c>
      <c r="M286">
        <v>980</v>
      </c>
      <c r="N286" t="s">
        <v>576</v>
      </c>
      <c r="O286" t="s">
        <v>269</v>
      </c>
      <c r="P286" t="s">
        <v>18</v>
      </c>
      <c r="Q286" t="s">
        <v>568</v>
      </c>
      <c r="R286" s="14">
        <v>0.39200000000000002</v>
      </c>
    </row>
    <row r="287" spans="1:18" hidden="1" x14ac:dyDescent="0.3">
      <c r="A287" t="s">
        <v>862</v>
      </c>
      <c r="B287" s="1">
        <v>46068</v>
      </c>
      <c r="C287" t="s">
        <v>1235</v>
      </c>
      <c r="D287" t="s">
        <v>215</v>
      </c>
      <c r="E287" t="s">
        <v>366</v>
      </c>
      <c r="F287" s="2" t="s">
        <v>367</v>
      </c>
      <c r="G287" t="s">
        <v>352</v>
      </c>
      <c r="H287">
        <v>1</v>
      </c>
      <c r="I287">
        <v>1500</v>
      </c>
      <c r="J287">
        <v>100</v>
      </c>
      <c r="K287">
        <v>1400</v>
      </c>
      <c r="L287">
        <v>920</v>
      </c>
      <c r="M287">
        <v>480</v>
      </c>
      <c r="N287" t="s">
        <v>576</v>
      </c>
      <c r="O287" t="s">
        <v>266</v>
      </c>
      <c r="P287" t="s">
        <v>18</v>
      </c>
      <c r="Q287" t="s">
        <v>568</v>
      </c>
      <c r="R287" s="14">
        <v>0.34285714285714303</v>
      </c>
    </row>
    <row r="288" spans="1:18" x14ac:dyDescent="0.3">
      <c r="A288" t="s">
        <v>863</v>
      </c>
      <c r="B288" s="1">
        <v>46051</v>
      </c>
      <c r="C288" t="s">
        <v>1234</v>
      </c>
      <c r="D288" t="s">
        <v>33</v>
      </c>
      <c r="E288" t="s">
        <v>419</v>
      </c>
      <c r="F288" s="2" t="s">
        <v>420</v>
      </c>
      <c r="G288" t="s">
        <v>362</v>
      </c>
      <c r="H288">
        <v>4</v>
      </c>
      <c r="I288">
        <v>1350</v>
      </c>
      <c r="J288">
        <v>100</v>
      </c>
      <c r="K288">
        <v>5300</v>
      </c>
      <c r="L288">
        <v>3400</v>
      </c>
      <c r="M288">
        <v>1900</v>
      </c>
      <c r="N288" t="s">
        <v>579</v>
      </c>
      <c r="O288" t="s">
        <v>266</v>
      </c>
      <c r="P288" t="s">
        <v>13</v>
      </c>
      <c r="Q288" t="s">
        <v>574</v>
      </c>
      <c r="R288" s="14">
        <v>0.35849056603773599</v>
      </c>
    </row>
    <row r="289" spans="1:18" hidden="1" x14ac:dyDescent="0.3">
      <c r="A289" t="s">
        <v>864</v>
      </c>
      <c r="B289" s="1">
        <v>46265</v>
      </c>
      <c r="C289" t="s">
        <v>1236</v>
      </c>
      <c r="D289" t="s">
        <v>53</v>
      </c>
      <c r="E289" t="s">
        <v>355</v>
      </c>
      <c r="F289" s="2" t="s">
        <v>356</v>
      </c>
      <c r="G289" t="s">
        <v>343</v>
      </c>
      <c r="H289">
        <v>2</v>
      </c>
      <c r="I289">
        <v>550</v>
      </c>
      <c r="J289">
        <v>0</v>
      </c>
      <c r="K289">
        <v>1100</v>
      </c>
      <c r="L289">
        <v>600</v>
      </c>
      <c r="M289">
        <v>500</v>
      </c>
      <c r="N289" t="s">
        <v>576</v>
      </c>
      <c r="O289" t="s">
        <v>269</v>
      </c>
      <c r="P289" t="s">
        <v>8</v>
      </c>
      <c r="Q289" t="s">
        <v>574</v>
      </c>
      <c r="R289" s="14">
        <v>0.45454545454545398</v>
      </c>
    </row>
    <row r="290" spans="1:18" hidden="1" x14ac:dyDescent="0.3">
      <c r="A290" t="s">
        <v>865</v>
      </c>
      <c r="B290" s="1">
        <v>46140</v>
      </c>
      <c r="C290" t="s">
        <v>1231</v>
      </c>
      <c r="D290" t="s">
        <v>45</v>
      </c>
      <c r="E290" t="s">
        <v>366</v>
      </c>
      <c r="F290" s="2" t="s">
        <v>367</v>
      </c>
      <c r="G290" t="s">
        <v>352</v>
      </c>
      <c r="H290">
        <v>2</v>
      </c>
      <c r="I290">
        <v>1500</v>
      </c>
      <c r="J290">
        <v>50</v>
      </c>
      <c r="K290">
        <v>2950</v>
      </c>
      <c r="L290">
        <v>1840</v>
      </c>
      <c r="M290">
        <v>1110</v>
      </c>
      <c r="N290" t="s">
        <v>567</v>
      </c>
      <c r="O290" t="s">
        <v>266</v>
      </c>
      <c r="P290" t="s">
        <v>18</v>
      </c>
      <c r="Q290" t="s">
        <v>574</v>
      </c>
      <c r="R290" s="14">
        <v>0.37627118644067797</v>
      </c>
    </row>
    <row r="291" spans="1:18" hidden="1" x14ac:dyDescent="0.3">
      <c r="A291" t="s">
        <v>866</v>
      </c>
      <c r="B291" s="1">
        <v>46128</v>
      </c>
      <c r="C291" t="s">
        <v>1231</v>
      </c>
      <c r="D291" t="s">
        <v>123</v>
      </c>
      <c r="E291" t="s">
        <v>382</v>
      </c>
      <c r="F291" s="2" t="s">
        <v>383</v>
      </c>
      <c r="G291" t="s">
        <v>384</v>
      </c>
      <c r="H291">
        <v>2</v>
      </c>
      <c r="I291">
        <v>1200</v>
      </c>
      <c r="J291">
        <v>0</v>
      </c>
      <c r="K291">
        <v>2400</v>
      </c>
      <c r="L291">
        <v>1460</v>
      </c>
      <c r="M291">
        <v>940</v>
      </c>
      <c r="N291" t="s">
        <v>573</v>
      </c>
      <c r="O291" t="s">
        <v>266</v>
      </c>
      <c r="P291" t="s">
        <v>13</v>
      </c>
      <c r="Q291" t="s">
        <v>585</v>
      </c>
      <c r="R291" s="14">
        <v>0.391666666666667</v>
      </c>
    </row>
    <row r="292" spans="1:18" hidden="1" x14ac:dyDescent="0.3">
      <c r="A292" t="s">
        <v>867</v>
      </c>
      <c r="B292" s="1">
        <v>46128</v>
      </c>
      <c r="C292" t="s">
        <v>1231</v>
      </c>
      <c r="D292" t="s">
        <v>203</v>
      </c>
      <c r="E292" t="s">
        <v>355</v>
      </c>
      <c r="F292" s="2" t="s">
        <v>356</v>
      </c>
      <c r="G292" t="s">
        <v>343</v>
      </c>
      <c r="H292">
        <v>1</v>
      </c>
      <c r="I292">
        <v>550</v>
      </c>
      <c r="J292">
        <v>20</v>
      </c>
      <c r="K292">
        <v>530</v>
      </c>
      <c r="L292">
        <v>300</v>
      </c>
      <c r="M292">
        <v>230</v>
      </c>
      <c r="N292" t="s">
        <v>570</v>
      </c>
      <c r="O292" t="s">
        <v>269</v>
      </c>
      <c r="P292" t="s">
        <v>8</v>
      </c>
      <c r="Q292" t="s">
        <v>585</v>
      </c>
      <c r="R292" s="14">
        <v>0.43396226415094302</v>
      </c>
    </row>
    <row r="293" spans="1:18" hidden="1" x14ac:dyDescent="0.3">
      <c r="A293" t="s">
        <v>868</v>
      </c>
      <c r="B293" s="1">
        <v>46191</v>
      </c>
      <c r="C293" t="s">
        <v>1233</v>
      </c>
      <c r="D293" t="s">
        <v>231</v>
      </c>
      <c r="E293" t="s">
        <v>396</v>
      </c>
      <c r="F293" s="2" t="s">
        <v>397</v>
      </c>
      <c r="G293" t="s">
        <v>376</v>
      </c>
      <c r="H293">
        <v>2</v>
      </c>
      <c r="I293">
        <v>600</v>
      </c>
      <c r="J293">
        <v>0</v>
      </c>
      <c r="K293">
        <v>1200</v>
      </c>
      <c r="L293">
        <v>700</v>
      </c>
      <c r="M293">
        <v>500</v>
      </c>
      <c r="N293" t="s">
        <v>567</v>
      </c>
      <c r="O293" t="s">
        <v>269</v>
      </c>
      <c r="P293" t="s">
        <v>8</v>
      </c>
      <c r="Q293" t="s">
        <v>585</v>
      </c>
      <c r="R293" s="14">
        <v>0.41666666666666702</v>
      </c>
    </row>
    <row r="294" spans="1:18" hidden="1" x14ac:dyDescent="0.3">
      <c r="A294" t="s">
        <v>869</v>
      </c>
      <c r="B294" s="1">
        <v>46036</v>
      </c>
      <c r="C294" t="s">
        <v>1234</v>
      </c>
      <c r="D294" t="s">
        <v>75</v>
      </c>
      <c r="E294" t="s">
        <v>369</v>
      </c>
      <c r="F294" s="2" t="s">
        <v>370</v>
      </c>
      <c r="G294" t="s">
        <v>371</v>
      </c>
      <c r="H294">
        <v>1</v>
      </c>
      <c r="I294">
        <v>1450</v>
      </c>
      <c r="J294">
        <v>50</v>
      </c>
      <c r="K294">
        <v>1400</v>
      </c>
      <c r="L294">
        <v>900</v>
      </c>
      <c r="M294">
        <v>500</v>
      </c>
      <c r="N294" t="s">
        <v>567</v>
      </c>
      <c r="O294" t="s">
        <v>269</v>
      </c>
      <c r="P294" t="s">
        <v>18</v>
      </c>
      <c r="Q294" t="s">
        <v>585</v>
      </c>
      <c r="R294" s="14">
        <v>0.35714285714285698</v>
      </c>
    </row>
    <row r="295" spans="1:18" hidden="1" x14ac:dyDescent="0.3">
      <c r="A295" t="s">
        <v>870</v>
      </c>
      <c r="B295" s="1">
        <v>46123</v>
      </c>
      <c r="C295" t="s">
        <v>1231</v>
      </c>
      <c r="D295" t="s">
        <v>123</v>
      </c>
      <c r="E295" t="s">
        <v>374</v>
      </c>
      <c r="F295" s="2" t="s">
        <v>375</v>
      </c>
      <c r="G295" t="s">
        <v>376</v>
      </c>
      <c r="H295">
        <v>1</v>
      </c>
      <c r="I295">
        <v>800</v>
      </c>
      <c r="J295">
        <v>75</v>
      </c>
      <c r="K295">
        <v>725</v>
      </c>
      <c r="L295">
        <v>470</v>
      </c>
      <c r="M295">
        <v>255</v>
      </c>
      <c r="N295" t="s">
        <v>576</v>
      </c>
      <c r="O295" t="s">
        <v>269</v>
      </c>
      <c r="P295" t="s">
        <v>13</v>
      </c>
      <c r="Q295" t="s">
        <v>574</v>
      </c>
      <c r="R295" s="14">
        <v>0.35172413793103402</v>
      </c>
    </row>
    <row r="296" spans="1:18" hidden="1" x14ac:dyDescent="0.3">
      <c r="A296" t="s">
        <v>871</v>
      </c>
      <c r="B296" s="1">
        <v>46059</v>
      </c>
      <c r="C296" t="s">
        <v>1235</v>
      </c>
      <c r="D296" t="s">
        <v>211</v>
      </c>
      <c r="E296" t="s">
        <v>369</v>
      </c>
      <c r="F296" s="2" t="s">
        <v>370</v>
      </c>
      <c r="G296" t="s">
        <v>371</v>
      </c>
      <c r="H296">
        <v>3</v>
      </c>
      <c r="I296">
        <v>1450</v>
      </c>
      <c r="J296">
        <v>20</v>
      </c>
      <c r="K296">
        <v>4330</v>
      </c>
      <c r="L296">
        <v>2700</v>
      </c>
      <c r="M296">
        <v>1630</v>
      </c>
      <c r="N296" t="s">
        <v>567</v>
      </c>
      <c r="O296" t="s">
        <v>266</v>
      </c>
      <c r="P296" t="s">
        <v>18</v>
      </c>
      <c r="Q296" t="s">
        <v>568</v>
      </c>
      <c r="R296" s="14">
        <v>0.376443418013857</v>
      </c>
    </row>
    <row r="297" spans="1:18" x14ac:dyDescent="0.3">
      <c r="A297" t="s">
        <v>872</v>
      </c>
      <c r="B297" s="1">
        <v>46195</v>
      </c>
      <c r="C297" t="s">
        <v>1233</v>
      </c>
      <c r="D297" t="s">
        <v>47</v>
      </c>
      <c r="E297" t="s">
        <v>419</v>
      </c>
      <c r="F297" s="2" t="s">
        <v>420</v>
      </c>
      <c r="G297" t="s">
        <v>362</v>
      </c>
      <c r="H297">
        <v>1</v>
      </c>
      <c r="I297">
        <v>1350</v>
      </c>
      <c r="J297">
        <v>0</v>
      </c>
      <c r="K297">
        <v>1350</v>
      </c>
      <c r="L297">
        <v>850</v>
      </c>
      <c r="M297">
        <v>500</v>
      </c>
      <c r="N297" t="s">
        <v>573</v>
      </c>
      <c r="O297" t="s">
        <v>269</v>
      </c>
      <c r="P297" t="s">
        <v>18</v>
      </c>
      <c r="Q297" t="s">
        <v>574</v>
      </c>
      <c r="R297" s="14">
        <v>0.37037037037037002</v>
      </c>
    </row>
    <row r="298" spans="1:18" hidden="1" x14ac:dyDescent="0.3">
      <c r="A298" t="s">
        <v>873</v>
      </c>
      <c r="B298" s="1">
        <v>46208</v>
      </c>
      <c r="C298" t="s">
        <v>1232</v>
      </c>
      <c r="D298" t="s">
        <v>117</v>
      </c>
      <c r="E298" t="s">
        <v>396</v>
      </c>
      <c r="F298" s="2" t="s">
        <v>397</v>
      </c>
      <c r="G298" t="s">
        <v>376</v>
      </c>
      <c r="H298">
        <v>2</v>
      </c>
      <c r="I298">
        <v>600</v>
      </c>
      <c r="J298">
        <v>0</v>
      </c>
      <c r="K298">
        <v>1200</v>
      </c>
      <c r="L298">
        <v>700</v>
      </c>
      <c r="M298">
        <v>500</v>
      </c>
      <c r="N298" t="s">
        <v>576</v>
      </c>
      <c r="O298" t="s">
        <v>266</v>
      </c>
      <c r="P298" t="s">
        <v>8</v>
      </c>
      <c r="Q298" t="s">
        <v>574</v>
      </c>
      <c r="R298" s="14">
        <v>0.41666666666666702</v>
      </c>
    </row>
    <row r="299" spans="1:18" hidden="1" x14ac:dyDescent="0.3">
      <c r="A299" t="s">
        <v>874</v>
      </c>
      <c r="B299" s="1">
        <v>46082</v>
      </c>
      <c r="C299" t="s">
        <v>1230</v>
      </c>
      <c r="D299" t="s">
        <v>45</v>
      </c>
      <c r="E299" t="s">
        <v>396</v>
      </c>
      <c r="F299" s="2" t="s">
        <v>397</v>
      </c>
      <c r="G299" t="s">
        <v>376</v>
      </c>
      <c r="H299">
        <v>2</v>
      </c>
      <c r="I299">
        <v>600</v>
      </c>
      <c r="J299">
        <v>0</v>
      </c>
      <c r="K299">
        <v>1200</v>
      </c>
      <c r="L299">
        <v>700</v>
      </c>
      <c r="M299">
        <v>500</v>
      </c>
      <c r="N299" t="s">
        <v>573</v>
      </c>
      <c r="O299" t="s">
        <v>269</v>
      </c>
      <c r="P299" t="s">
        <v>8</v>
      </c>
      <c r="Q299" t="s">
        <v>568</v>
      </c>
      <c r="R299" s="14">
        <v>0.41666666666666702</v>
      </c>
    </row>
    <row r="300" spans="1:18" hidden="1" x14ac:dyDescent="0.3">
      <c r="A300" t="s">
        <v>875</v>
      </c>
      <c r="B300" s="1">
        <v>46252</v>
      </c>
      <c r="C300" t="s">
        <v>1236</v>
      </c>
      <c r="D300" t="s">
        <v>241</v>
      </c>
      <c r="E300" t="s">
        <v>400</v>
      </c>
      <c r="F300" s="2" t="s">
        <v>401</v>
      </c>
      <c r="G300" t="s">
        <v>384</v>
      </c>
      <c r="H300">
        <v>1</v>
      </c>
      <c r="I300">
        <v>950</v>
      </c>
      <c r="J300">
        <v>50</v>
      </c>
      <c r="K300">
        <v>900</v>
      </c>
      <c r="L300">
        <v>570</v>
      </c>
      <c r="M300">
        <v>330</v>
      </c>
      <c r="N300" t="s">
        <v>576</v>
      </c>
      <c r="O300" t="s">
        <v>266</v>
      </c>
      <c r="P300" t="s">
        <v>18</v>
      </c>
      <c r="Q300" t="s">
        <v>568</v>
      </c>
      <c r="R300" s="14">
        <v>0.36666666666666697</v>
      </c>
    </row>
    <row r="301" spans="1:18" hidden="1" x14ac:dyDescent="0.3">
      <c r="A301" t="s">
        <v>876</v>
      </c>
      <c r="B301" s="1">
        <v>46247</v>
      </c>
      <c r="C301" t="s">
        <v>1236</v>
      </c>
      <c r="D301" t="s">
        <v>43</v>
      </c>
      <c r="E301" t="s">
        <v>355</v>
      </c>
      <c r="F301" s="2" t="s">
        <v>356</v>
      </c>
      <c r="G301" t="s">
        <v>343</v>
      </c>
      <c r="H301">
        <v>1</v>
      </c>
      <c r="I301">
        <v>550</v>
      </c>
      <c r="J301">
        <v>50</v>
      </c>
      <c r="K301">
        <v>500</v>
      </c>
      <c r="L301">
        <v>300</v>
      </c>
      <c r="M301">
        <v>200</v>
      </c>
      <c r="N301" t="s">
        <v>576</v>
      </c>
      <c r="O301" t="s">
        <v>269</v>
      </c>
      <c r="P301" t="s">
        <v>18</v>
      </c>
      <c r="Q301" t="s">
        <v>585</v>
      </c>
      <c r="R301" s="14">
        <v>0.4</v>
      </c>
    </row>
    <row r="302" spans="1:18" hidden="1" x14ac:dyDescent="0.3">
      <c r="A302" t="s">
        <v>877</v>
      </c>
      <c r="B302" s="1">
        <v>46067</v>
      </c>
      <c r="C302" t="s">
        <v>1235</v>
      </c>
      <c r="D302" t="s">
        <v>73</v>
      </c>
      <c r="E302" t="s">
        <v>374</v>
      </c>
      <c r="F302" s="2" t="s">
        <v>375</v>
      </c>
      <c r="G302" t="s">
        <v>376</v>
      </c>
      <c r="H302">
        <v>4</v>
      </c>
      <c r="I302">
        <v>800</v>
      </c>
      <c r="J302">
        <v>100</v>
      </c>
      <c r="K302">
        <v>3100</v>
      </c>
      <c r="L302">
        <v>1880</v>
      </c>
      <c r="M302">
        <v>1220</v>
      </c>
      <c r="N302" t="s">
        <v>573</v>
      </c>
      <c r="O302" t="s">
        <v>266</v>
      </c>
      <c r="P302" t="s">
        <v>18</v>
      </c>
      <c r="Q302" t="s">
        <v>568</v>
      </c>
      <c r="R302" s="14">
        <v>0.39354838709677398</v>
      </c>
    </row>
    <row r="303" spans="1:18" x14ac:dyDescent="0.3">
      <c r="A303" t="s">
        <v>878</v>
      </c>
      <c r="B303" s="1">
        <v>46125</v>
      </c>
      <c r="C303" t="s">
        <v>1231</v>
      </c>
      <c r="D303" t="s">
        <v>25</v>
      </c>
      <c r="E303" t="s">
        <v>419</v>
      </c>
      <c r="F303" s="2" t="s">
        <v>420</v>
      </c>
      <c r="G303" t="s">
        <v>362</v>
      </c>
      <c r="H303">
        <v>4</v>
      </c>
      <c r="I303">
        <v>1350</v>
      </c>
      <c r="J303">
        <v>50</v>
      </c>
      <c r="K303">
        <v>5350</v>
      </c>
      <c r="L303">
        <v>3400</v>
      </c>
      <c r="M303">
        <v>1950</v>
      </c>
      <c r="N303" t="s">
        <v>579</v>
      </c>
      <c r="O303" t="s">
        <v>266</v>
      </c>
      <c r="P303" t="s">
        <v>13</v>
      </c>
      <c r="Q303" t="s">
        <v>568</v>
      </c>
      <c r="R303" s="14">
        <v>0.36448598130841098</v>
      </c>
    </row>
    <row r="304" spans="1:18" hidden="1" x14ac:dyDescent="0.3">
      <c r="A304" t="s">
        <v>879</v>
      </c>
      <c r="B304" s="1">
        <v>46129</v>
      </c>
      <c r="C304" t="s">
        <v>1231</v>
      </c>
      <c r="D304" t="s">
        <v>233</v>
      </c>
      <c r="E304" t="s">
        <v>366</v>
      </c>
      <c r="F304" s="2" t="s">
        <v>367</v>
      </c>
      <c r="G304" t="s">
        <v>352</v>
      </c>
      <c r="H304">
        <v>4</v>
      </c>
      <c r="I304">
        <v>1500</v>
      </c>
      <c r="J304">
        <v>0</v>
      </c>
      <c r="K304">
        <v>6000</v>
      </c>
      <c r="L304">
        <v>3680</v>
      </c>
      <c r="M304">
        <v>2320</v>
      </c>
      <c r="N304" t="s">
        <v>567</v>
      </c>
      <c r="O304" t="s">
        <v>266</v>
      </c>
      <c r="P304" t="s">
        <v>13</v>
      </c>
      <c r="Q304" t="s">
        <v>585</v>
      </c>
      <c r="R304" s="14">
        <v>0.38666666666666699</v>
      </c>
    </row>
    <row r="305" spans="1:18" hidden="1" x14ac:dyDescent="0.3">
      <c r="A305" t="s">
        <v>880</v>
      </c>
      <c r="B305" s="1">
        <v>46068</v>
      </c>
      <c r="C305" t="s">
        <v>1235</v>
      </c>
      <c r="D305" t="s">
        <v>59</v>
      </c>
      <c r="E305" t="s">
        <v>415</v>
      </c>
      <c r="F305" s="2" t="s">
        <v>416</v>
      </c>
      <c r="G305" t="s">
        <v>347</v>
      </c>
      <c r="H305">
        <v>3</v>
      </c>
      <c r="I305">
        <v>1250</v>
      </c>
      <c r="J305">
        <v>0</v>
      </c>
      <c r="K305">
        <v>3750</v>
      </c>
      <c r="L305">
        <v>2280</v>
      </c>
      <c r="M305">
        <v>1470</v>
      </c>
      <c r="N305" t="s">
        <v>570</v>
      </c>
      <c r="O305" t="s">
        <v>269</v>
      </c>
      <c r="P305" t="s">
        <v>13</v>
      </c>
      <c r="Q305" t="s">
        <v>574</v>
      </c>
      <c r="R305" s="14">
        <v>0.39200000000000002</v>
      </c>
    </row>
    <row r="306" spans="1:18" hidden="1" x14ac:dyDescent="0.3">
      <c r="A306" t="s">
        <v>881</v>
      </c>
      <c r="B306" s="1">
        <v>46027</v>
      </c>
      <c r="C306" t="s">
        <v>1234</v>
      </c>
      <c r="D306" t="s">
        <v>207</v>
      </c>
      <c r="E306" t="s">
        <v>355</v>
      </c>
      <c r="F306" s="2" t="s">
        <v>356</v>
      </c>
      <c r="G306" t="s">
        <v>343</v>
      </c>
      <c r="H306">
        <v>2</v>
      </c>
      <c r="I306">
        <v>550</v>
      </c>
      <c r="J306">
        <v>20</v>
      </c>
      <c r="K306">
        <v>1080</v>
      </c>
      <c r="L306">
        <v>600</v>
      </c>
      <c r="M306">
        <v>480</v>
      </c>
      <c r="N306" t="s">
        <v>579</v>
      </c>
      <c r="O306" t="s">
        <v>266</v>
      </c>
      <c r="P306" t="s">
        <v>8</v>
      </c>
      <c r="Q306" t="s">
        <v>585</v>
      </c>
      <c r="R306" s="14">
        <v>0.44444444444444398</v>
      </c>
    </row>
    <row r="307" spans="1:18" hidden="1" x14ac:dyDescent="0.3">
      <c r="A307" t="s">
        <v>882</v>
      </c>
      <c r="B307" s="1">
        <v>46122</v>
      </c>
      <c r="C307" t="s">
        <v>1231</v>
      </c>
      <c r="D307" t="s">
        <v>147</v>
      </c>
      <c r="E307" t="s">
        <v>345</v>
      </c>
      <c r="F307" s="2" t="s">
        <v>346</v>
      </c>
      <c r="G307" t="s">
        <v>347</v>
      </c>
      <c r="H307">
        <v>3</v>
      </c>
      <c r="I307">
        <v>700</v>
      </c>
      <c r="J307">
        <v>50</v>
      </c>
      <c r="K307">
        <v>2050</v>
      </c>
      <c r="L307">
        <v>1230</v>
      </c>
      <c r="M307">
        <v>820</v>
      </c>
      <c r="N307" t="s">
        <v>573</v>
      </c>
      <c r="O307" t="s">
        <v>266</v>
      </c>
      <c r="P307" t="s">
        <v>8</v>
      </c>
      <c r="Q307" t="s">
        <v>574</v>
      </c>
      <c r="R307" s="14">
        <v>0.4</v>
      </c>
    </row>
    <row r="308" spans="1:18" hidden="1" x14ac:dyDescent="0.3">
      <c r="A308" t="s">
        <v>883</v>
      </c>
      <c r="B308" s="1">
        <v>46239</v>
      </c>
      <c r="C308" t="s">
        <v>1236</v>
      </c>
      <c r="D308" t="s">
        <v>79</v>
      </c>
      <c r="E308" t="s">
        <v>350</v>
      </c>
      <c r="F308" s="2" t="s">
        <v>351</v>
      </c>
      <c r="G308" t="s">
        <v>352</v>
      </c>
      <c r="H308">
        <v>1</v>
      </c>
      <c r="I308">
        <v>900</v>
      </c>
      <c r="J308">
        <v>100</v>
      </c>
      <c r="K308">
        <v>800</v>
      </c>
      <c r="L308">
        <v>540</v>
      </c>
      <c r="M308">
        <v>260</v>
      </c>
      <c r="N308" t="s">
        <v>567</v>
      </c>
      <c r="O308" t="s">
        <v>266</v>
      </c>
      <c r="P308" t="s">
        <v>8</v>
      </c>
      <c r="Q308" t="s">
        <v>568</v>
      </c>
      <c r="R308" s="14">
        <v>0.32500000000000001</v>
      </c>
    </row>
    <row r="309" spans="1:18" hidden="1" x14ac:dyDescent="0.3">
      <c r="A309" t="s">
        <v>884</v>
      </c>
      <c r="B309" s="1">
        <v>46036</v>
      </c>
      <c r="C309" t="s">
        <v>1234</v>
      </c>
      <c r="D309" t="s">
        <v>247</v>
      </c>
      <c r="E309" t="s">
        <v>350</v>
      </c>
      <c r="F309" s="2" t="s">
        <v>351</v>
      </c>
      <c r="G309" t="s">
        <v>352</v>
      </c>
      <c r="H309">
        <v>1</v>
      </c>
      <c r="I309">
        <v>900</v>
      </c>
      <c r="J309">
        <v>0</v>
      </c>
      <c r="K309">
        <v>900</v>
      </c>
      <c r="L309">
        <v>540</v>
      </c>
      <c r="M309">
        <v>360</v>
      </c>
      <c r="N309" t="s">
        <v>579</v>
      </c>
      <c r="O309" t="s">
        <v>266</v>
      </c>
      <c r="P309" t="s">
        <v>8</v>
      </c>
      <c r="Q309" t="s">
        <v>568</v>
      </c>
      <c r="R309" s="14">
        <v>0.4</v>
      </c>
    </row>
    <row r="310" spans="1:18" hidden="1" x14ac:dyDescent="0.3">
      <c r="A310" t="s">
        <v>885</v>
      </c>
      <c r="B310" s="1">
        <v>46067</v>
      </c>
      <c r="C310" t="s">
        <v>1235</v>
      </c>
      <c r="D310" t="s">
        <v>207</v>
      </c>
      <c r="E310" t="s">
        <v>382</v>
      </c>
      <c r="F310" s="2" t="s">
        <v>383</v>
      </c>
      <c r="G310" t="s">
        <v>384</v>
      </c>
      <c r="H310">
        <v>2</v>
      </c>
      <c r="I310">
        <v>1200</v>
      </c>
      <c r="J310">
        <v>0</v>
      </c>
      <c r="K310">
        <v>2400</v>
      </c>
      <c r="L310">
        <v>1460</v>
      </c>
      <c r="M310">
        <v>940</v>
      </c>
      <c r="N310" t="s">
        <v>570</v>
      </c>
      <c r="O310" t="s">
        <v>266</v>
      </c>
      <c r="P310" t="s">
        <v>8</v>
      </c>
      <c r="Q310" t="s">
        <v>585</v>
      </c>
      <c r="R310" s="14">
        <v>0.391666666666667</v>
      </c>
    </row>
    <row r="311" spans="1:18" hidden="1" x14ac:dyDescent="0.3">
      <c r="A311" t="s">
        <v>886</v>
      </c>
      <c r="B311" s="1">
        <v>46241</v>
      </c>
      <c r="C311" t="s">
        <v>1236</v>
      </c>
      <c r="D311" t="s">
        <v>21</v>
      </c>
      <c r="E311" t="s">
        <v>382</v>
      </c>
      <c r="F311" s="2" t="s">
        <v>383</v>
      </c>
      <c r="G311" t="s">
        <v>384</v>
      </c>
      <c r="H311">
        <v>1</v>
      </c>
      <c r="I311">
        <v>1200</v>
      </c>
      <c r="J311">
        <v>0</v>
      </c>
      <c r="K311">
        <v>1200</v>
      </c>
      <c r="L311">
        <v>730</v>
      </c>
      <c r="M311">
        <v>470</v>
      </c>
      <c r="N311" t="s">
        <v>579</v>
      </c>
      <c r="O311" t="s">
        <v>266</v>
      </c>
      <c r="P311" t="s">
        <v>18</v>
      </c>
      <c r="Q311" t="s">
        <v>571</v>
      </c>
      <c r="R311" s="14">
        <v>0.391666666666667</v>
      </c>
    </row>
    <row r="312" spans="1:18" hidden="1" x14ac:dyDescent="0.3">
      <c r="A312" t="s">
        <v>887</v>
      </c>
      <c r="B312" s="1">
        <v>46176</v>
      </c>
      <c r="C312" t="s">
        <v>1233</v>
      </c>
      <c r="D312" t="s">
        <v>223</v>
      </c>
      <c r="E312" t="s">
        <v>374</v>
      </c>
      <c r="F312" s="2" t="s">
        <v>375</v>
      </c>
      <c r="G312" t="s">
        <v>376</v>
      </c>
      <c r="H312">
        <v>3</v>
      </c>
      <c r="I312">
        <v>800</v>
      </c>
      <c r="J312">
        <v>20</v>
      </c>
      <c r="K312">
        <v>2380</v>
      </c>
      <c r="L312">
        <v>1410</v>
      </c>
      <c r="M312">
        <v>970</v>
      </c>
      <c r="N312" t="s">
        <v>573</v>
      </c>
      <c r="O312" t="s">
        <v>269</v>
      </c>
      <c r="P312" t="s">
        <v>8</v>
      </c>
      <c r="Q312" t="s">
        <v>571</v>
      </c>
      <c r="R312" s="14">
        <v>0.40756302521008397</v>
      </c>
    </row>
    <row r="313" spans="1:18" hidden="1" x14ac:dyDescent="0.3">
      <c r="A313" t="s">
        <v>888</v>
      </c>
      <c r="B313" s="1">
        <v>46238</v>
      </c>
      <c r="C313" t="s">
        <v>1236</v>
      </c>
      <c r="D313" t="s">
        <v>105</v>
      </c>
      <c r="E313" t="s">
        <v>341</v>
      </c>
      <c r="F313" s="2" t="s">
        <v>342</v>
      </c>
      <c r="G313" t="s">
        <v>343</v>
      </c>
      <c r="H313">
        <v>2</v>
      </c>
      <c r="I313">
        <v>750</v>
      </c>
      <c r="J313">
        <v>0</v>
      </c>
      <c r="K313">
        <v>1500</v>
      </c>
      <c r="L313">
        <v>860</v>
      </c>
      <c r="M313">
        <v>640</v>
      </c>
      <c r="N313" t="s">
        <v>570</v>
      </c>
      <c r="O313" t="s">
        <v>269</v>
      </c>
      <c r="P313" t="s">
        <v>13</v>
      </c>
      <c r="Q313" t="s">
        <v>585</v>
      </c>
      <c r="R313" s="14">
        <v>0.42666666666666703</v>
      </c>
    </row>
    <row r="314" spans="1:18" hidden="1" x14ac:dyDescent="0.3">
      <c r="A314" t="s">
        <v>889</v>
      </c>
      <c r="B314" s="1">
        <v>46200</v>
      </c>
      <c r="C314" t="s">
        <v>1233</v>
      </c>
      <c r="D314" t="s">
        <v>241</v>
      </c>
      <c r="E314" t="s">
        <v>350</v>
      </c>
      <c r="F314" s="2" t="s">
        <v>351</v>
      </c>
      <c r="G314" t="s">
        <v>352</v>
      </c>
      <c r="H314">
        <v>1</v>
      </c>
      <c r="I314">
        <v>900</v>
      </c>
      <c r="J314">
        <v>0</v>
      </c>
      <c r="K314">
        <v>900</v>
      </c>
      <c r="L314">
        <v>540</v>
      </c>
      <c r="M314">
        <v>360</v>
      </c>
      <c r="N314" t="s">
        <v>576</v>
      </c>
      <c r="O314" t="s">
        <v>269</v>
      </c>
      <c r="P314" t="s">
        <v>8</v>
      </c>
      <c r="Q314" t="s">
        <v>568</v>
      </c>
      <c r="R314" s="14">
        <v>0.4</v>
      </c>
    </row>
    <row r="315" spans="1:18" x14ac:dyDescent="0.3">
      <c r="A315" t="s">
        <v>890</v>
      </c>
      <c r="B315" s="1">
        <v>46083</v>
      </c>
      <c r="C315" t="s">
        <v>1230</v>
      </c>
      <c r="D315" t="s">
        <v>129</v>
      </c>
      <c r="E315" t="s">
        <v>419</v>
      </c>
      <c r="F315" s="2" t="s">
        <v>420</v>
      </c>
      <c r="G315" t="s">
        <v>362</v>
      </c>
      <c r="H315">
        <v>2</v>
      </c>
      <c r="I315">
        <v>1350</v>
      </c>
      <c r="J315">
        <v>20</v>
      </c>
      <c r="K315">
        <v>2680</v>
      </c>
      <c r="L315">
        <v>1700</v>
      </c>
      <c r="M315">
        <v>980</v>
      </c>
      <c r="N315" t="s">
        <v>579</v>
      </c>
      <c r="O315" t="s">
        <v>266</v>
      </c>
      <c r="P315" t="s">
        <v>8</v>
      </c>
      <c r="Q315" t="s">
        <v>574</v>
      </c>
      <c r="R315" s="14">
        <v>0.365671641791045</v>
      </c>
    </row>
    <row r="316" spans="1:18" x14ac:dyDescent="0.3">
      <c r="A316" t="s">
        <v>891</v>
      </c>
      <c r="B316" s="1">
        <v>46220</v>
      </c>
      <c r="C316" t="s">
        <v>1232</v>
      </c>
      <c r="D316" t="s">
        <v>227</v>
      </c>
      <c r="E316" t="s">
        <v>360</v>
      </c>
      <c r="F316" s="2" t="s">
        <v>361</v>
      </c>
      <c r="G316" t="s">
        <v>362</v>
      </c>
      <c r="H316">
        <v>2</v>
      </c>
      <c r="I316">
        <v>1100</v>
      </c>
      <c r="J316">
        <v>20</v>
      </c>
      <c r="K316">
        <v>2180</v>
      </c>
      <c r="L316">
        <v>1360</v>
      </c>
      <c r="M316">
        <v>820</v>
      </c>
      <c r="N316" t="s">
        <v>579</v>
      </c>
      <c r="O316" t="s">
        <v>269</v>
      </c>
      <c r="P316" t="s">
        <v>8</v>
      </c>
      <c r="Q316" t="s">
        <v>568</v>
      </c>
      <c r="R316" s="14">
        <v>0.37614678899082599</v>
      </c>
    </row>
    <row r="317" spans="1:18" hidden="1" x14ac:dyDescent="0.3">
      <c r="A317" t="s">
        <v>892</v>
      </c>
      <c r="B317" s="1">
        <v>46096</v>
      </c>
      <c r="C317" t="s">
        <v>1230</v>
      </c>
      <c r="D317" t="s">
        <v>203</v>
      </c>
      <c r="E317" t="s">
        <v>345</v>
      </c>
      <c r="F317" s="2" t="s">
        <v>346</v>
      </c>
      <c r="G317" t="s">
        <v>347</v>
      </c>
      <c r="H317">
        <v>2</v>
      </c>
      <c r="I317">
        <v>700</v>
      </c>
      <c r="J317">
        <v>0</v>
      </c>
      <c r="K317">
        <v>1400</v>
      </c>
      <c r="L317">
        <v>820</v>
      </c>
      <c r="M317">
        <v>580</v>
      </c>
      <c r="N317" t="s">
        <v>570</v>
      </c>
      <c r="O317" t="s">
        <v>269</v>
      </c>
      <c r="P317" t="s">
        <v>18</v>
      </c>
      <c r="Q317" t="s">
        <v>574</v>
      </c>
      <c r="R317" s="14">
        <v>0.41428571428571398</v>
      </c>
    </row>
    <row r="318" spans="1:18" hidden="1" x14ac:dyDescent="0.3">
      <c r="A318" t="s">
        <v>893</v>
      </c>
      <c r="B318" s="1">
        <v>46081</v>
      </c>
      <c r="C318" t="s">
        <v>1235</v>
      </c>
      <c r="D318" t="s">
        <v>27</v>
      </c>
      <c r="E318" t="s">
        <v>400</v>
      </c>
      <c r="F318" s="2" t="s">
        <v>401</v>
      </c>
      <c r="G318" t="s">
        <v>384</v>
      </c>
      <c r="H318">
        <v>2</v>
      </c>
      <c r="I318">
        <v>950</v>
      </c>
      <c r="J318">
        <v>0</v>
      </c>
      <c r="K318">
        <v>1900</v>
      </c>
      <c r="L318">
        <v>1140</v>
      </c>
      <c r="M318">
        <v>760</v>
      </c>
      <c r="N318" t="s">
        <v>570</v>
      </c>
      <c r="O318" t="s">
        <v>266</v>
      </c>
      <c r="P318" t="s">
        <v>18</v>
      </c>
      <c r="Q318" t="s">
        <v>585</v>
      </c>
      <c r="R318" s="14">
        <v>0.4</v>
      </c>
    </row>
    <row r="319" spans="1:18" x14ac:dyDescent="0.3">
      <c r="A319" t="s">
        <v>894</v>
      </c>
      <c r="B319" s="1">
        <v>46090</v>
      </c>
      <c r="C319" t="s">
        <v>1230</v>
      </c>
      <c r="D319" t="s">
        <v>227</v>
      </c>
      <c r="E319" t="s">
        <v>360</v>
      </c>
      <c r="F319" s="2" t="s">
        <v>361</v>
      </c>
      <c r="G319" t="s">
        <v>362</v>
      </c>
      <c r="H319">
        <v>3</v>
      </c>
      <c r="I319">
        <v>1100</v>
      </c>
      <c r="J319">
        <v>20</v>
      </c>
      <c r="K319">
        <v>3280</v>
      </c>
      <c r="L319">
        <v>2040</v>
      </c>
      <c r="M319">
        <v>1240</v>
      </c>
      <c r="N319" t="s">
        <v>576</v>
      </c>
      <c r="O319" t="s">
        <v>266</v>
      </c>
      <c r="P319" t="s">
        <v>18</v>
      </c>
      <c r="Q319" t="s">
        <v>568</v>
      </c>
      <c r="R319" s="14">
        <v>0.37804878048780499</v>
      </c>
    </row>
    <row r="320" spans="1:18" hidden="1" x14ac:dyDescent="0.3">
      <c r="A320" t="s">
        <v>895</v>
      </c>
      <c r="B320" s="1">
        <v>46036</v>
      </c>
      <c r="C320" t="s">
        <v>1234</v>
      </c>
      <c r="D320" t="s">
        <v>61</v>
      </c>
      <c r="E320" t="s">
        <v>341</v>
      </c>
      <c r="F320" s="2" t="s">
        <v>342</v>
      </c>
      <c r="G320" t="s">
        <v>343</v>
      </c>
      <c r="H320">
        <v>2</v>
      </c>
      <c r="I320">
        <v>750</v>
      </c>
      <c r="J320">
        <v>0</v>
      </c>
      <c r="K320">
        <v>1500</v>
      </c>
      <c r="L320">
        <v>860</v>
      </c>
      <c r="M320">
        <v>640</v>
      </c>
      <c r="N320" t="s">
        <v>567</v>
      </c>
      <c r="O320" t="s">
        <v>269</v>
      </c>
      <c r="P320" t="s">
        <v>8</v>
      </c>
      <c r="Q320" t="s">
        <v>585</v>
      </c>
      <c r="R320" s="14">
        <v>0.42666666666666703</v>
      </c>
    </row>
    <row r="321" spans="1:18" hidden="1" x14ac:dyDescent="0.3">
      <c r="A321" t="s">
        <v>896</v>
      </c>
      <c r="B321" s="1">
        <v>46153</v>
      </c>
      <c r="C321" t="s">
        <v>1237</v>
      </c>
      <c r="D321" t="s">
        <v>151</v>
      </c>
      <c r="E321" t="s">
        <v>387</v>
      </c>
      <c r="F321" s="2" t="s">
        <v>388</v>
      </c>
      <c r="G321" t="s">
        <v>347</v>
      </c>
      <c r="H321">
        <v>1</v>
      </c>
      <c r="I321">
        <v>850</v>
      </c>
      <c r="J321">
        <v>0</v>
      </c>
      <c r="K321">
        <v>850</v>
      </c>
      <c r="L321">
        <v>520</v>
      </c>
      <c r="M321">
        <v>330</v>
      </c>
      <c r="N321" t="s">
        <v>576</v>
      </c>
      <c r="O321" t="s">
        <v>269</v>
      </c>
      <c r="P321" t="s">
        <v>8</v>
      </c>
      <c r="Q321" t="s">
        <v>574</v>
      </c>
      <c r="R321" s="14">
        <v>0.38823529411764701</v>
      </c>
    </row>
    <row r="322" spans="1:18" x14ac:dyDescent="0.3">
      <c r="A322" t="s">
        <v>897</v>
      </c>
      <c r="B322" s="1">
        <v>46145</v>
      </c>
      <c r="C322" t="s">
        <v>1237</v>
      </c>
      <c r="D322" t="s">
        <v>107</v>
      </c>
      <c r="E322" t="s">
        <v>419</v>
      </c>
      <c r="F322" s="2" t="s">
        <v>420</v>
      </c>
      <c r="G322" t="s">
        <v>362</v>
      </c>
      <c r="H322">
        <v>1</v>
      </c>
      <c r="I322">
        <v>1350</v>
      </c>
      <c r="J322">
        <v>20</v>
      </c>
      <c r="K322">
        <v>1330</v>
      </c>
      <c r="L322">
        <v>850</v>
      </c>
      <c r="M322">
        <v>480</v>
      </c>
      <c r="N322" t="s">
        <v>570</v>
      </c>
      <c r="O322" t="s">
        <v>269</v>
      </c>
      <c r="P322" t="s">
        <v>13</v>
      </c>
      <c r="Q322" t="s">
        <v>571</v>
      </c>
      <c r="R322" s="14">
        <v>0.360902255639098</v>
      </c>
    </row>
    <row r="323" spans="1:18" hidden="1" x14ac:dyDescent="0.3">
      <c r="A323" t="s">
        <v>898</v>
      </c>
      <c r="B323" s="1">
        <v>46242</v>
      </c>
      <c r="C323" t="s">
        <v>1236</v>
      </c>
      <c r="D323" t="s">
        <v>89</v>
      </c>
      <c r="E323" t="s">
        <v>400</v>
      </c>
      <c r="F323" s="2" t="s">
        <v>401</v>
      </c>
      <c r="G323" t="s">
        <v>384</v>
      </c>
      <c r="H323">
        <v>1</v>
      </c>
      <c r="I323">
        <v>950</v>
      </c>
      <c r="J323">
        <v>0</v>
      </c>
      <c r="K323">
        <v>950</v>
      </c>
      <c r="L323">
        <v>570</v>
      </c>
      <c r="M323">
        <v>380</v>
      </c>
      <c r="N323" t="s">
        <v>576</v>
      </c>
      <c r="O323" t="s">
        <v>269</v>
      </c>
      <c r="P323" t="s">
        <v>13</v>
      </c>
      <c r="Q323" t="s">
        <v>568</v>
      </c>
      <c r="R323" s="14">
        <v>0.4</v>
      </c>
    </row>
    <row r="324" spans="1:18" hidden="1" x14ac:dyDescent="0.3">
      <c r="A324" t="s">
        <v>899</v>
      </c>
      <c r="B324" s="1">
        <v>46126</v>
      </c>
      <c r="C324" t="s">
        <v>1231</v>
      </c>
      <c r="D324" t="s">
        <v>171</v>
      </c>
      <c r="E324" t="s">
        <v>382</v>
      </c>
      <c r="F324" s="2" t="s">
        <v>383</v>
      </c>
      <c r="G324" t="s">
        <v>384</v>
      </c>
      <c r="H324">
        <v>1</v>
      </c>
      <c r="I324">
        <v>1200</v>
      </c>
      <c r="J324">
        <v>75</v>
      </c>
      <c r="K324">
        <v>1125</v>
      </c>
      <c r="L324">
        <v>730</v>
      </c>
      <c r="M324">
        <v>395</v>
      </c>
      <c r="N324" t="s">
        <v>579</v>
      </c>
      <c r="O324" t="s">
        <v>266</v>
      </c>
      <c r="P324" t="s">
        <v>8</v>
      </c>
      <c r="Q324" t="s">
        <v>585</v>
      </c>
      <c r="R324" s="14">
        <v>0.35111111111111099</v>
      </c>
    </row>
    <row r="325" spans="1:18" x14ac:dyDescent="0.3">
      <c r="A325" t="s">
        <v>900</v>
      </c>
      <c r="B325" s="1">
        <v>46049</v>
      </c>
      <c r="C325" t="s">
        <v>1234</v>
      </c>
      <c r="D325" t="s">
        <v>235</v>
      </c>
      <c r="E325" t="s">
        <v>360</v>
      </c>
      <c r="F325" s="2" t="s">
        <v>361</v>
      </c>
      <c r="G325" t="s">
        <v>362</v>
      </c>
      <c r="H325">
        <v>2</v>
      </c>
      <c r="I325">
        <v>1100</v>
      </c>
      <c r="J325">
        <v>20</v>
      </c>
      <c r="K325">
        <v>2180</v>
      </c>
      <c r="L325">
        <v>1360</v>
      </c>
      <c r="M325">
        <v>820</v>
      </c>
      <c r="N325" t="s">
        <v>570</v>
      </c>
      <c r="O325" t="s">
        <v>266</v>
      </c>
      <c r="P325" t="s">
        <v>8</v>
      </c>
      <c r="Q325" t="s">
        <v>568</v>
      </c>
      <c r="R325" s="14">
        <v>0.37614678899082599</v>
      </c>
    </row>
    <row r="326" spans="1:18" hidden="1" x14ac:dyDescent="0.3">
      <c r="A326" t="s">
        <v>901</v>
      </c>
      <c r="B326" s="1">
        <v>46182</v>
      </c>
      <c r="C326" t="s">
        <v>1233</v>
      </c>
      <c r="D326" t="s">
        <v>103</v>
      </c>
      <c r="E326" t="s">
        <v>387</v>
      </c>
      <c r="F326" s="2" t="s">
        <v>388</v>
      </c>
      <c r="G326" t="s">
        <v>347</v>
      </c>
      <c r="H326">
        <v>1</v>
      </c>
      <c r="I326">
        <v>850</v>
      </c>
      <c r="J326">
        <v>20</v>
      </c>
      <c r="K326">
        <v>830</v>
      </c>
      <c r="L326">
        <v>520</v>
      </c>
      <c r="M326">
        <v>310</v>
      </c>
      <c r="N326" t="s">
        <v>570</v>
      </c>
      <c r="O326" t="s">
        <v>269</v>
      </c>
      <c r="P326" t="s">
        <v>8</v>
      </c>
      <c r="Q326" t="s">
        <v>574</v>
      </c>
      <c r="R326" s="14">
        <v>0.373493975903614</v>
      </c>
    </row>
    <row r="327" spans="1:18" x14ac:dyDescent="0.3">
      <c r="A327" t="s">
        <v>902</v>
      </c>
      <c r="B327" s="1">
        <v>46161</v>
      </c>
      <c r="C327" t="s">
        <v>1237</v>
      </c>
      <c r="D327" t="s">
        <v>99</v>
      </c>
      <c r="E327" t="s">
        <v>419</v>
      </c>
      <c r="F327" s="2" t="s">
        <v>420</v>
      </c>
      <c r="G327" t="s">
        <v>362</v>
      </c>
      <c r="H327">
        <v>3</v>
      </c>
      <c r="I327">
        <v>1350</v>
      </c>
      <c r="J327">
        <v>0</v>
      </c>
      <c r="K327">
        <v>4050</v>
      </c>
      <c r="L327">
        <v>2550</v>
      </c>
      <c r="M327">
        <v>1500</v>
      </c>
      <c r="N327" t="s">
        <v>573</v>
      </c>
      <c r="O327" t="s">
        <v>269</v>
      </c>
      <c r="P327" t="s">
        <v>13</v>
      </c>
      <c r="Q327" t="s">
        <v>571</v>
      </c>
      <c r="R327" s="14">
        <v>0.37037037037037002</v>
      </c>
    </row>
    <row r="328" spans="1:18" hidden="1" x14ac:dyDescent="0.3">
      <c r="A328" t="s">
        <v>903</v>
      </c>
      <c r="B328" s="1">
        <v>46178</v>
      </c>
      <c r="C328" t="s">
        <v>1233</v>
      </c>
      <c r="D328" t="s">
        <v>211</v>
      </c>
      <c r="E328" t="s">
        <v>341</v>
      </c>
      <c r="F328" s="2" t="s">
        <v>342</v>
      </c>
      <c r="G328" t="s">
        <v>343</v>
      </c>
      <c r="H328">
        <v>2</v>
      </c>
      <c r="I328">
        <v>750</v>
      </c>
      <c r="J328">
        <v>0</v>
      </c>
      <c r="K328">
        <v>1500</v>
      </c>
      <c r="L328">
        <v>860</v>
      </c>
      <c r="M328">
        <v>640</v>
      </c>
      <c r="N328" t="s">
        <v>579</v>
      </c>
      <c r="O328" t="s">
        <v>269</v>
      </c>
      <c r="P328" t="s">
        <v>18</v>
      </c>
      <c r="Q328" t="s">
        <v>568</v>
      </c>
      <c r="R328" s="14">
        <v>0.42666666666666703</v>
      </c>
    </row>
    <row r="329" spans="1:18" hidden="1" x14ac:dyDescent="0.3">
      <c r="A329" t="s">
        <v>904</v>
      </c>
      <c r="B329" s="1">
        <v>46218</v>
      </c>
      <c r="C329" t="s">
        <v>1232</v>
      </c>
      <c r="D329" t="s">
        <v>57</v>
      </c>
      <c r="E329" t="s">
        <v>393</v>
      </c>
      <c r="F329" s="2" t="s">
        <v>394</v>
      </c>
      <c r="G329" t="s">
        <v>371</v>
      </c>
      <c r="H329">
        <v>2</v>
      </c>
      <c r="I329">
        <v>1150</v>
      </c>
      <c r="J329">
        <v>0</v>
      </c>
      <c r="K329">
        <v>2300</v>
      </c>
      <c r="L329">
        <v>1400</v>
      </c>
      <c r="M329">
        <v>900</v>
      </c>
      <c r="N329" t="s">
        <v>576</v>
      </c>
      <c r="O329" t="s">
        <v>266</v>
      </c>
      <c r="P329" t="s">
        <v>8</v>
      </c>
      <c r="Q329" t="s">
        <v>568</v>
      </c>
      <c r="R329" s="14">
        <v>0.39130434782608697</v>
      </c>
    </row>
    <row r="330" spans="1:18" hidden="1" x14ac:dyDescent="0.3">
      <c r="A330" t="s">
        <v>905</v>
      </c>
      <c r="B330" s="1">
        <v>46031</v>
      </c>
      <c r="C330" t="s">
        <v>1234</v>
      </c>
      <c r="D330" t="s">
        <v>239</v>
      </c>
      <c r="E330" t="s">
        <v>341</v>
      </c>
      <c r="F330" s="2" t="s">
        <v>342</v>
      </c>
      <c r="G330" t="s">
        <v>343</v>
      </c>
      <c r="H330">
        <v>4</v>
      </c>
      <c r="I330">
        <v>750</v>
      </c>
      <c r="J330">
        <v>0</v>
      </c>
      <c r="K330">
        <v>3000</v>
      </c>
      <c r="L330">
        <v>1720</v>
      </c>
      <c r="M330">
        <v>1280</v>
      </c>
      <c r="N330" t="s">
        <v>579</v>
      </c>
      <c r="O330" t="s">
        <v>266</v>
      </c>
      <c r="P330" t="s">
        <v>18</v>
      </c>
      <c r="Q330" t="s">
        <v>585</v>
      </c>
      <c r="R330" s="14">
        <v>0.42666666666666703</v>
      </c>
    </row>
    <row r="331" spans="1:18" hidden="1" x14ac:dyDescent="0.3">
      <c r="A331" t="s">
        <v>906</v>
      </c>
      <c r="B331" s="1">
        <v>46130</v>
      </c>
      <c r="C331" t="s">
        <v>1231</v>
      </c>
      <c r="D331" t="s">
        <v>153</v>
      </c>
      <c r="E331" t="s">
        <v>382</v>
      </c>
      <c r="F331" s="2" t="s">
        <v>383</v>
      </c>
      <c r="G331" t="s">
        <v>384</v>
      </c>
      <c r="H331">
        <v>1</v>
      </c>
      <c r="I331">
        <v>1200</v>
      </c>
      <c r="J331">
        <v>75</v>
      </c>
      <c r="K331">
        <v>1125</v>
      </c>
      <c r="L331">
        <v>730</v>
      </c>
      <c r="M331">
        <v>395</v>
      </c>
      <c r="N331" t="s">
        <v>567</v>
      </c>
      <c r="O331" t="s">
        <v>266</v>
      </c>
      <c r="P331" t="s">
        <v>8</v>
      </c>
      <c r="Q331" t="s">
        <v>585</v>
      </c>
      <c r="R331" s="14">
        <v>0.35111111111111099</v>
      </c>
    </row>
    <row r="332" spans="1:18" hidden="1" x14ac:dyDescent="0.3">
      <c r="A332" t="s">
        <v>907</v>
      </c>
      <c r="B332" s="1">
        <v>46043</v>
      </c>
      <c r="C332" t="s">
        <v>1234</v>
      </c>
      <c r="D332" t="s">
        <v>63</v>
      </c>
      <c r="E332" t="s">
        <v>350</v>
      </c>
      <c r="F332" s="2" t="s">
        <v>351</v>
      </c>
      <c r="G332" t="s">
        <v>352</v>
      </c>
      <c r="H332">
        <v>1</v>
      </c>
      <c r="I332">
        <v>900</v>
      </c>
      <c r="J332">
        <v>0</v>
      </c>
      <c r="K332">
        <v>900</v>
      </c>
      <c r="L332">
        <v>540</v>
      </c>
      <c r="M332">
        <v>360</v>
      </c>
      <c r="N332" t="s">
        <v>579</v>
      </c>
      <c r="O332" t="s">
        <v>266</v>
      </c>
      <c r="P332" t="s">
        <v>13</v>
      </c>
      <c r="Q332" t="s">
        <v>568</v>
      </c>
      <c r="R332" s="14">
        <v>0.4</v>
      </c>
    </row>
    <row r="333" spans="1:18" hidden="1" x14ac:dyDescent="0.3">
      <c r="A333" t="s">
        <v>908</v>
      </c>
      <c r="B333" s="1">
        <v>46104</v>
      </c>
      <c r="C333" t="s">
        <v>1230</v>
      </c>
      <c r="D333" t="s">
        <v>123</v>
      </c>
      <c r="E333" t="s">
        <v>355</v>
      </c>
      <c r="F333" s="2" t="s">
        <v>356</v>
      </c>
      <c r="G333" t="s">
        <v>343</v>
      </c>
      <c r="H333">
        <v>3</v>
      </c>
      <c r="I333">
        <v>550</v>
      </c>
      <c r="J333">
        <v>50</v>
      </c>
      <c r="K333">
        <v>1600</v>
      </c>
      <c r="L333">
        <v>900</v>
      </c>
      <c r="M333">
        <v>700</v>
      </c>
      <c r="N333" t="s">
        <v>570</v>
      </c>
      <c r="O333" t="s">
        <v>269</v>
      </c>
      <c r="P333" t="s">
        <v>18</v>
      </c>
      <c r="Q333" t="s">
        <v>574</v>
      </c>
      <c r="R333" s="14">
        <v>0.4375</v>
      </c>
    </row>
    <row r="334" spans="1:18" x14ac:dyDescent="0.3">
      <c r="A334" t="s">
        <v>909</v>
      </c>
      <c r="B334" s="1">
        <v>46116</v>
      </c>
      <c r="C334" t="s">
        <v>1231</v>
      </c>
      <c r="D334" t="s">
        <v>37</v>
      </c>
      <c r="E334" t="s">
        <v>419</v>
      </c>
      <c r="F334" s="2" t="s">
        <v>420</v>
      </c>
      <c r="G334" t="s">
        <v>362</v>
      </c>
      <c r="H334">
        <v>2</v>
      </c>
      <c r="I334">
        <v>1350</v>
      </c>
      <c r="J334">
        <v>75</v>
      </c>
      <c r="K334">
        <v>2625</v>
      </c>
      <c r="L334">
        <v>1700</v>
      </c>
      <c r="M334">
        <v>925</v>
      </c>
      <c r="N334" t="s">
        <v>570</v>
      </c>
      <c r="O334" t="s">
        <v>269</v>
      </c>
      <c r="P334" t="s">
        <v>13</v>
      </c>
      <c r="Q334" t="s">
        <v>568</v>
      </c>
      <c r="R334" s="14">
        <v>0.35238095238095202</v>
      </c>
    </row>
    <row r="335" spans="1:18" hidden="1" x14ac:dyDescent="0.3">
      <c r="A335" t="s">
        <v>910</v>
      </c>
      <c r="B335" s="1">
        <v>46178</v>
      </c>
      <c r="C335" t="s">
        <v>1233</v>
      </c>
      <c r="D335" t="s">
        <v>101</v>
      </c>
      <c r="E335" t="s">
        <v>345</v>
      </c>
      <c r="F335" s="2" t="s">
        <v>346</v>
      </c>
      <c r="G335" t="s">
        <v>347</v>
      </c>
      <c r="H335">
        <v>1</v>
      </c>
      <c r="I335">
        <v>700</v>
      </c>
      <c r="J335">
        <v>50</v>
      </c>
      <c r="K335">
        <v>650</v>
      </c>
      <c r="L335">
        <v>410</v>
      </c>
      <c r="M335">
        <v>240</v>
      </c>
      <c r="N335" t="s">
        <v>573</v>
      </c>
      <c r="O335" t="s">
        <v>266</v>
      </c>
      <c r="P335" t="s">
        <v>13</v>
      </c>
      <c r="Q335" t="s">
        <v>585</v>
      </c>
      <c r="R335" s="14">
        <v>0.36923076923076897</v>
      </c>
    </row>
    <row r="336" spans="1:18" x14ac:dyDescent="0.3">
      <c r="A336" t="s">
        <v>911</v>
      </c>
      <c r="B336" s="1">
        <v>46208</v>
      </c>
      <c r="C336" t="s">
        <v>1232</v>
      </c>
      <c r="D336" t="s">
        <v>57</v>
      </c>
      <c r="E336" t="s">
        <v>360</v>
      </c>
      <c r="F336" s="2" t="s">
        <v>361</v>
      </c>
      <c r="G336" t="s">
        <v>362</v>
      </c>
      <c r="H336">
        <v>1</v>
      </c>
      <c r="I336">
        <v>1100</v>
      </c>
      <c r="J336">
        <v>0</v>
      </c>
      <c r="K336">
        <v>1100</v>
      </c>
      <c r="L336">
        <v>680</v>
      </c>
      <c r="M336">
        <v>420</v>
      </c>
      <c r="N336" t="s">
        <v>567</v>
      </c>
      <c r="O336" t="s">
        <v>269</v>
      </c>
      <c r="P336" t="s">
        <v>13</v>
      </c>
      <c r="Q336" t="s">
        <v>568</v>
      </c>
      <c r="R336" s="14">
        <v>0.381818181818182</v>
      </c>
    </row>
    <row r="337" spans="1:18" hidden="1" x14ac:dyDescent="0.3">
      <c r="A337" t="s">
        <v>912</v>
      </c>
      <c r="B337" s="1">
        <v>46167</v>
      </c>
      <c r="C337" t="s">
        <v>1237</v>
      </c>
      <c r="D337" t="s">
        <v>85</v>
      </c>
      <c r="E337" t="s">
        <v>396</v>
      </c>
      <c r="F337" s="2" t="s">
        <v>397</v>
      </c>
      <c r="G337" t="s">
        <v>376</v>
      </c>
      <c r="H337">
        <v>2</v>
      </c>
      <c r="I337">
        <v>600</v>
      </c>
      <c r="J337">
        <v>75</v>
      </c>
      <c r="K337">
        <v>1125</v>
      </c>
      <c r="L337">
        <v>700</v>
      </c>
      <c r="M337">
        <v>425</v>
      </c>
      <c r="N337" t="s">
        <v>573</v>
      </c>
      <c r="O337" t="s">
        <v>269</v>
      </c>
      <c r="P337" t="s">
        <v>13</v>
      </c>
      <c r="Q337" t="s">
        <v>585</v>
      </c>
      <c r="R337" s="14">
        <v>0.37777777777777799</v>
      </c>
    </row>
    <row r="338" spans="1:18" hidden="1" x14ac:dyDescent="0.3">
      <c r="A338" t="s">
        <v>913</v>
      </c>
      <c r="B338" s="1">
        <v>46173</v>
      </c>
      <c r="C338" t="s">
        <v>1237</v>
      </c>
      <c r="D338" t="s">
        <v>125</v>
      </c>
      <c r="E338" t="s">
        <v>415</v>
      </c>
      <c r="F338" s="2" t="s">
        <v>416</v>
      </c>
      <c r="G338" t="s">
        <v>347</v>
      </c>
      <c r="H338">
        <v>3</v>
      </c>
      <c r="I338">
        <v>1250</v>
      </c>
      <c r="J338">
        <v>50</v>
      </c>
      <c r="K338">
        <v>3700</v>
      </c>
      <c r="L338">
        <v>2280</v>
      </c>
      <c r="M338">
        <v>1420</v>
      </c>
      <c r="N338" t="s">
        <v>570</v>
      </c>
      <c r="O338" t="s">
        <v>266</v>
      </c>
      <c r="P338" t="s">
        <v>8</v>
      </c>
      <c r="Q338" t="s">
        <v>574</v>
      </c>
      <c r="R338" s="14">
        <v>0.38378378378378403</v>
      </c>
    </row>
    <row r="339" spans="1:18" hidden="1" x14ac:dyDescent="0.3">
      <c r="A339" t="s">
        <v>914</v>
      </c>
      <c r="B339" s="1">
        <v>46169</v>
      </c>
      <c r="C339" t="s">
        <v>1237</v>
      </c>
      <c r="D339" t="s">
        <v>67</v>
      </c>
      <c r="E339" t="s">
        <v>355</v>
      </c>
      <c r="F339" s="2" t="s">
        <v>356</v>
      </c>
      <c r="G339" t="s">
        <v>343</v>
      </c>
      <c r="H339">
        <v>1</v>
      </c>
      <c r="I339">
        <v>550</v>
      </c>
      <c r="J339">
        <v>0</v>
      </c>
      <c r="K339">
        <v>550</v>
      </c>
      <c r="L339">
        <v>300</v>
      </c>
      <c r="M339">
        <v>250</v>
      </c>
      <c r="N339" t="s">
        <v>570</v>
      </c>
      <c r="O339" t="s">
        <v>266</v>
      </c>
      <c r="P339" t="s">
        <v>13</v>
      </c>
      <c r="Q339" t="s">
        <v>568</v>
      </c>
      <c r="R339" s="14">
        <v>0.45454545454545398</v>
      </c>
    </row>
    <row r="340" spans="1:18" hidden="1" x14ac:dyDescent="0.3">
      <c r="A340" t="s">
        <v>915</v>
      </c>
      <c r="B340" s="1">
        <v>46172</v>
      </c>
      <c r="C340" t="s">
        <v>1237</v>
      </c>
      <c r="D340" t="s">
        <v>103</v>
      </c>
      <c r="E340" t="s">
        <v>400</v>
      </c>
      <c r="F340" s="2" t="s">
        <v>401</v>
      </c>
      <c r="G340" t="s">
        <v>384</v>
      </c>
      <c r="H340">
        <v>1</v>
      </c>
      <c r="I340">
        <v>950</v>
      </c>
      <c r="J340">
        <v>100</v>
      </c>
      <c r="K340">
        <v>850</v>
      </c>
      <c r="L340">
        <v>570</v>
      </c>
      <c r="M340">
        <v>280</v>
      </c>
      <c r="N340" t="s">
        <v>573</v>
      </c>
      <c r="O340" t="s">
        <v>269</v>
      </c>
      <c r="P340" t="s">
        <v>8</v>
      </c>
      <c r="Q340" t="s">
        <v>585</v>
      </c>
      <c r="R340" s="14">
        <v>0.32941176470588202</v>
      </c>
    </row>
    <row r="341" spans="1:18" hidden="1" x14ac:dyDescent="0.3">
      <c r="A341" t="s">
        <v>916</v>
      </c>
      <c r="B341" s="1">
        <v>46195</v>
      </c>
      <c r="C341" t="s">
        <v>1233</v>
      </c>
      <c r="D341" t="s">
        <v>149</v>
      </c>
      <c r="E341" t="s">
        <v>369</v>
      </c>
      <c r="F341" s="2" t="s">
        <v>370</v>
      </c>
      <c r="G341" t="s">
        <v>371</v>
      </c>
      <c r="H341">
        <v>2</v>
      </c>
      <c r="I341">
        <v>1450</v>
      </c>
      <c r="J341">
        <v>75</v>
      </c>
      <c r="K341">
        <v>2825</v>
      </c>
      <c r="L341">
        <v>1800</v>
      </c>
      <c r="M341">
        <v>1025</v>
      </c>
      <c r="N341" t="s">
        <v>573</v>
      </c>
      <c r="O341" t="s">
        <v>269</v>
      </c>
      <c r="P341" t="s">
        <v>18</v>
      </c>
      <c r="Q341" t="s">
        <v>574</v>
      </c>
      <c r="R341" s="14">
        <v>0.36283185840707999</v>
      </c>
    </row>
    <row r="342" spans="1:18" hidden="1" x14ac:dyDescent="0.3">
      <c r="A342" t="s">
        <v>917</v>
      </c>
      <c r="B342" s="1">
        <v>46188</v>
      </c>
      <c r="C342" t="s">
        <v>1233</v>
      </c>
      <c r="D342" t="s">
        <v>113</v>
      </c>
      <c r="E342" t="s">
        <v>415</v>
      </c>
      <c r="F342" s="2" t="s">
        <v>416</v>
      </c>
      <c r="G342" t="s">
        <v>347</v>
      </c>
      <c r="H342">
        <v>3</v>
      </c>
      <c r="I342">
        <v>1250</v>
      </c>
      <c r="J342">
        <v>0</v>
      </c>
      <c r="K342">
        <v>3750</v>
      </c>
      <c r="L342">
        <v>2280</v>
      </c>
      <c r="M342">
        <v>1470</v>
      </c>
      <c r="N342" t="s">
        <v>567</v>
      </c>
      <c r="O342" t="s">
        <v>266</v>
      </c>
      <c r="P342" t="s">
        <v>13</v>
      </c>
      <c r="Q342" t="s">
        <v>568</v>
      </c>
      <c r="R342" s="14">
        <v>0.39200000000000002</v>
      </c>
    </row>
    <row r="343" spans="1:18" hidden="1" x14ac:dyDescent="0.3">
      <c r="A343" t="s">
        <v>918</v>
      </c>
      <c r="B343" s="1">
        <v>46225</v>
      </c>
      <c r="C343" t="s">
        <v>1232</v>
      </c>
      <c r="D343" t="s">
        <v>113</v>
      </c>
      <c r="E343" t="s">
        <v>387</v>
      </c>
      <c r="F343" s="2" t="s">
        <v>388</v>
      </c>
      <c r="G343" t="s">
        <v>347</v>
      </c>
      <c r="H343">
        <v>1</v>
      </c>
      <c r="I343">
        <v>850</v>
      </c>
      <c r="J343">
        <v>0</v>
      </c>
      <c r="K343">
        <v>850</v>
      </c>
      <c r="L343">
        <v>520</v>
      </c>
      <c r="M343">
        <v>330</v>
      </c>
      <c r="N343" t="s">
        <v>570</v>
      </c>
      <c r="O343" t="s">
        <v>269</v>
      </c>
      <c r="P343" t="s">
        <v>18</v>
      </c>
      <c r="Q343" t="s">
        <v>585</v>
      </c>
      <c r="R343" s="14">
        <v>0.38823529411764701</v>
      </c>
    </row>
    <row r="344" spans="1:18" hidden="1" x14ac:dyDescent="0.3">
      <c r="A344" t="s">
        <v>919</v>
      </c>
      <c r="B344" s="1">
        <v>46030</v>
      </c>
      <c r="C344" t="s">
        <v>1234</v>
      </c>
      <c r="D344" t="s">
        <v>9</v>
      </c>
      <c r="E344" t="s">
        <v>382</v>
      </c>
      <c r="F344" s="2" t="s">
        <v>383</v>
      </c>
      <c r="G344" t="s">
        <v>384</v>
      </c>
      <c r="H344">
        <v>1</v>
      </c>
      <c r="I344">
        <v>1200</v>
      </c>
      <c r="J344">
        <v>75</v>
      </c>
      <c r="K344">
        <v>1125</v>
      </c>
      <c r="L344">
        <v>730</v>
      </c>
      <c r="M344">
        <v>395</v>
      </c>
      <c r="N344" t="s">
        <v>573</v>
      </c>
      <c r="O344" t="s">
        <v>269</v>
      </c>
      <c r="P344" t="s">
        <v>8</v>
      </c>
      <c r="Q344" t="s">
        <v>568</v>
      </c>
      <c r="R344" s="14">
        <v>0.35111111111111099</v>
      </c>
    </row>
    <row r="345" spans="1:18" hidden="1" x14ac:dyDescent="0.3">
      <c r="A345" t="s">
        <v>920</v>
      </c>
      <c r="B345" s="1">
        <v>46243</v>
      </c>
      <c r="C345" t="s">
        <v>1236</v>
      </c>
      <c r="D345" t="s">
        <v>131</v>
      </c>
      <c r="E345" t="s">
        <v>400</v>
      </c>
      <c r="F345" s="2" t="s">
        <v>401</v>
      </c>
      <c r="G345" t="s">
        <v>384</v>
      </c>
      <c r="H345">
        <v>1</v>
      </c>
      <c r="I345">
        <v>950</v>
      </c>
      <c r="J345">
        <v>0</v>
      </c>
      <c r="K345">
        <v>950</v>
      </c>
      <c r="L345">
        <v>570</v>
      </c>
      <c r="M345">
        <v>380</v>
      </c>
      <c r="N345" t="s">
        <v>573</v>
      </c>
      <c r="O345" t="s">
        <v>266</v>
      </c>
      <c r="P345" t="s">
        <v>8</v>
      </c>
      <c r="Q345" t="s">
        <v>568</v>
      </c>
      <c r="R345" s="14">
        <v>0.4</v>
      </c>
    </row>
    <row r="346" spans="1:18" hidden="1" x14ac:dyDescent="0.3">
      <c r="A346" t="s">
        <v>921</v>
      </c>
      <c r="B346" s="1">
        <v>46171</v>
      </c>
      <c r="C346" t="s">
        <v>1237</v>
      </c>
      <c r="D346" t="s">
        <v>145</v>
      </c>
      <c r="E346" t="s">
        <v>393</v>
      </c>
      <c r="F346" s="2" t="s">
        <v>394</v>
      </c>
      <c r="G346" t="s">
        <v>371</v>
      </c>
      <c r="H346">
        <v>4</v>
      </c>
      <c r="I346">
        <v>1150</v>
      </c>
      <c r="J346">
        <v>75</v>
      </c>
      <c r="K346">
        <v>4525</v>
      </c>
      <c r="L346">
        <v>2800</v>
      </c>
      <c r="M346">
        <v>1725</v>
      </c>
      <c r="N346" t="s">
        <v>576</v>
      </c>
      <c r="O346" t="s">
        <v>269</v>
      </c>
      <c r="P346" t="s">
        <v>18</v>
      </c>
      <c r="Q346" t="s">
        <v>574</v>
      </c>
      <c r="R346" s="14">
        <v>0.38121546961326003</v>
      </c>
    </row>
    <row r="347" spans="1:18" hidden="1" x14ac:dyDescent="0.3">
      <c r="A347" t="s">
        <v>922</v>
      </c>
      <c r="B347" s="1">
        <v>46090</v>
      </c>
      <c r="C347" t="s">
        <v>1230</v>
      </c>
      <c r="D347" t="s">
        <v>77</v>
      </c>
      <c r="E347" t="s">
        <v>341</v>
      </c>
      <c r="F347" s="2" t="s">
        <v>342</v>
      </c>
      <c r="G347" t="s">
        <v>343</v>
      </c>
      <c r="H347">
        <v>1</v>
      </c>
      <c r="I347">
        <v>750</v>
      </c>
      <c r="J347">
        <v>75</v>
      </c>
      <c r="K347">
        <v>675</v>
      </c>
      <c r="L347">
        <v>430</v>
      </c>
      <c r="M347">
        <v>245</v>
      </c>
      <c r="N347" t="s">
        <v>573</v>
      </c>
      <c r="O347" t="s">
        <v>266</v>
      </c>
      <c r="P347" t="s">
        <v>13</v>
      </c>
      <c r="Q347" t="s">
        <v>568</v>
      </c>
      <c r="R347" s="14">
        <v>0.36296296296296299</v>
      </c>
    </row>
    <row r="348" spans="1:18" x14ac:dyDescent="0.3">
      <c r="A348" t="s">
        <v>923</v>
      </c>
      <c r="B348" s="1">
        <v>46098</v>
      </c>
      <c r="C348" t="s">
        <v>1230</v>
      </c>
      <c r="D348" t="s">
        <v>99</v>
      </c>
      <c r="E348" t="s">
        <v>360</v>
      </c>
      <c r="F348" s="2" t="s">
        <v>361</v>
      </c>
      <c r="G348" t="s">
        <v>362</v>
      </c>
      <c r="H348">
        <v>1</v>
      </c>
      <c r="I348">
        <v>1100</v>
      </c>
      <c r="J348">
        <v>0</v>
      </c>
      <c r="K348">
        <v>1100</v>
      </c>
      <c r="L348">
        <v>680</v>
      </c>
      <c r="M348">
        <v>420</v>
      </c>
      <c r="N348" t="s">
        <v>573</v>
      </c>
      <c r="O348" t="s">
        <v>269</v>
      </c>
      <c r="P348" t="s">
        <v>8</v>
      </c>
      <c r="Q348" t="s">
        <v>568</v>
      </c>
      <c r="R348" s="14">
        <v>0.381818181818182</v>
      </c>
    </row>
    <row r="349" spans="1:18" x14ac:dyDescent="0.3">
      <c r="A349" t="s">
        <v>924</v>
      </c>
      <c r="B349" s="1">
        <v>46042</v>
      </c>
      <c r="C349" t="s">
        <v>1234</v>
      </c>
      <c r="D349" t="s">
        <v>65</v>
      </c>
      <c r="E349" t="s">
        <v>419</v>
      </c>
      <c r="F349" s="2" t="s">
        <v>420</v>
      </c>
      <c r="G349" t="s">
        <v>362</v>
      </c>
      <c r="H349">
        <v>2</v>
      </c>
      <c r="I349">
        <v>1350</v>
      </c>
      <c r="J349">
        <v>50</v>
      </c>
      <c r="K349">
        <v>2650</v>
      </c>
      <c r="L349">
        <v>1700</v>
      </c>
      <c r="M349">
        <v>950</v>
      </c>
      <c r="N349" t="s">
        <v>570</v>
      </c>
      <c r="O349" t="s">
        <v>266</v>
      </c>
      <c r="P349" t="s">
        <v>18</v>
      </c>
      <c r="Q349" t="s">
        <v>574</v>
      </c>
      <c r="R349" s="14">
        <v>0.35849056603773599</v>
      </c>
    </row>
    <row r="350" spans="1:18" hidden="1" x14ac:dyDescent="0.3">
      <c r="A350" t="s">
        <v>925</v>
      </c>
      <c r="B350" s="1">
        <v>46089</v>
      </c>
      <c r="C350" t="s">
        <v>1230</v>
      </c>
      <c r="D350" t="s">
        <v>179</v>
      </c>
      <c r="E350" t="s">
        <v>350</v>
      </c>
      <c r="F350" s="2" t="s">
        <v>351</v>
      </c>
      <c r="G350" t="s">
        <v>352</v>
      </c>
      <c r="H350">
        <v>1</v>
      </c>
      <c r="I350">
        <v>900</v>
      </c>
      <c r="J350">
        <v>50</v>
      </c>
      <c r="K350">
        <v>850</v>
      </c>
      <c r="L350">
        <v>540</v>
      </c>
      <c r="M350">
        <v>310</v>
      </c>
      <c r="N350" t="s">
        <v>576</v>
      </c>
      <c r="O350" t="s">
        <v>266</v>
      </c>
      <c r="P350" t="s">
        <v>8</v>
      </c>
      <c r="Q350" t="s">
        <v>574</v>
      </c>
      <c r="R350" s="14">
        <v>0.36470588235294099</v>
      </c>
    </row>
    <row r="351" spans="1:18" hidden="1" x14ac:dyDescent="0.3">
      <c r="A351" t="s">
        <v>926</v>
      </c>
      <c r="B351" s="1">
        <v>46028</v>
      </c>
      <c r="C351" t="s">
        <v>1234</v>
      </c>
      <c r="D351" t="s">
        <v>179</v>
      </c>
      <c r="E351" t="s">
        <v>382</v>
      </c>
      <c r="F351" s="2" t="s">
        <v>383</v>
      </c>
      <c r="G351" t="s">
        <v>384</v>
      </c>
      <c r="H351">
        <v>1</v>
      </c>
      <c r="I351">
        <v>1200</v>
      </c>
      <c r="J351">
        <v>50</v>
      </c>
      <c r="K351">
        <v>1150</v>
      </c>
      <c r="L351">
        <v>730</v>
      </c>
      <c r="M351">
        <v>420</v>
      </c>
      <c r="N351" t="s">
        <v>573</v>
      </c>
      <c r="O351" t="s">
        <v>266</v>
      </c>
      <c r="P351" t="s">
        <v>13</v>
      </c>
      <c r="Q351" t="s">
        <v>568</v>
      </c>
      <c r="R351" s="14">
        <v>0.36521739130434799</v>
      </c>
    </row>
    <row r="352" spans="1:18" x14ac:dyDescent="0.3">
      <c r="A352" t="s">
        <v>927</v>
      </c>
      <c r="B352" s="1">
        <v>46146</v>
      </c>
      <c r="C352" t="s">
        <v>1237</v>
      </c>
      <c r="D352" t="s">
        <v>219</v>
      </c>
      <c r="E352" t="s">
        <v>419</v>
      </c>
      <c r="F352" s="2" t="s">
        <v>420</v>
      </c>
      <c r="G352" t="s">
        <v>362</v>
      </c>
      <c r="H352">
        <v>1</v>
      </c>
      <c r="I352">
        <v>1350</v>
      </c>
      <c r="J352">
        <v>0</v>
      </c>
      <c r="K352">
        <v>1350</v>
      </c>
      <c r="L352">
        <v>850</v>
      </c>
      <c r="M352">
        <v>500</v>
      </c>
      <c r="N352" t="s">
        <v>573</v>
      </c>
      <c r="O352" t="s">
        <v>269</v>
      </c>
      <c r="P352" t="s">
        <v>13</v>
      </c>
      <c r="Q352" t="s">
        <v>574</v>
      </c>
      <c r="R352" s="14">
        <v>0.37037037037037002</v>
      </c>
    </row>
    <row r="353" spans="1:18" hidden="1" x14ac:dyDescent="0.3">
      <c r="A353" t="s">
        <v>928</v>
      </c>
      <c r="B353" s="1">
        <v>46259</v>
      </c>
      <c r="C353" t="s">
        <v>1236</v>
      </c>
      <c r="D353" t="s">
        <v>175</v>
      </c>
      <c r="E353" t="s">
        <v>415</v>
      </c>
      <c r="F353" s="2" t="s">
        <v>416</v>
      </c>
      <c r="G353" t="s">
        <v>347</v>
      </c>
      <c r="H353">
        <v>1</v>
      </c>
      <c r="I353">
        <v>1250</v>
      </c>
      <c r="J353">
        <v>50</v>
      </c>
      <c r="K353">
        <v>1200</v>
      </c>
      <c r="L353">
        <v>760</v>
      </c>
      <c r="M353">
        <v>440</v>
      </c>
      <c r="N353" t="s">
        <v>573</v>
      </c>
      <c r="O353" t="s">
        <v>269</v>
      </c>
      <c r="P353" t="s">
        <v>13</v>
      </c>
      <c r="Q353" t="s">
        <v>568</v>
      </c>
      <c r="R353" s="14">
        <v>0.36666666666666697</v>
      </c>
    </row>
    <row r="354" spans="1:18" hidden="1" x14ac:dyDescent="0.3">
      <c r="A354" t="s">
        <v>929</v>
      </c>
      <c r="B354" s="1">
        <v>46170</v>
      </c>
      <c r="C354" t="s">
        <v>1237</v>
      </c>
      <c r="D354" t="s">
        <v>201</v>
      </c>
      <c r="E354" t="s">
        <v>396</v>
      </c>
      <c r="F354" s="2" t="s">
        <v>397</v>
      </c>
      <c r="G354" t="s">
        <v>376</v>
      </c>
      <c r="H354">
        <v>1</v>
      </c>
      <c r="I354">
        <v>600</v>
      </c>
      <c r="J354">
        <v>75</v>
      </c>
      <c r="K354">
        <v>525</v>
      </c>
      <c r="L354">
        <v>350</v>
      </c>
      <c r="M354">
        <v>175</v>
      </c>
      <c r="N354" t="s">
        <v>579</v>
      </c>
      <c r="O354" t="s">
        <v>269</v>
      </c>
      <c r="P354" t="s">
        <v>13</v>
      </c>
      <c r="Q354" t="s">
        <v>568</v>
      </c>
      <c r="R354" s="14">
        <v>0.33333333333333298</v>
      </c>
    </row>
    <row r="355" spans="1:18" hidden="1" x14ac:dyDescent="0.3">
      <c r="A355" t="s">
        <v>930</v>
      </c>
      <c r="B355" s="1">
        <v>46255</v>
      </c>
      <c r="C355" t="s">
        <v>1236</v>
      </c>
      <c r="D355" t="s">
        <v>25</v>
      </c>
      <c r="E355" t="s">
        <v>396</v>
      </c>
      <c r="F355" s="2" t="s">
        <v>397</v>
      </c>
      <c r="G355" t="s">
        <v>376</v>
      </c>
      <c r="H355">
        <v>1</v>
      </c>
      <c r="I355">
        <v>600</v>
      </c>
      <c r="J355">
        <v>0</v>
      </c>
      <c r="K355">
        <v>600</v>
      </c>
      <c r="L355">
        <v>350</v>
      </c>
      <c r="M355">
        <v>250</v>
      </c>
      <c r="N355" t="s">
        <v>567</v>
      </c>
      <c r="O355" t="s">
        <v>269</v>
      </c>
      <c r="P355" t="s">
        <v>13</v>
      </c>
      <c r="Q355" t="s">
        <v>585</v>
      </c>
      <c r="R355" s="14">
        <v>0.41666666666666702</v>
      </c>
    </row>
    <row r="356" spans="1:18" hidden="1" x14ac:dyDescent="0.3">
      <c r="A356" t="s">
        <v>931</v>
      </c>
      <c r="B356" s="1">
        <v>46063</v>
      </c>
      <c r="C356" t="s">
        <v>1235</v>
      </c>
      <c r="D356" t="s">
        <v>85</v>
      </c>
      <c r="E356" t="s">
        <v>341</v>
      </c>
      <c r="F356" s="2" t="s">
        <v>342</v>
      </c>
      <c r="G356" t="s">
        <v>343</v>
      </c>
      <c r="H356">
        <v>1</v>
      </c>
      <c r="I356">
        <v>750</v>
      </c>
      <c r="J356">
        <v>20</v>
      </c>
      <c r="K356">
        <v>730</v>
      </c>
      <c r="L356">
        <v>430</v>
      </c>
      <c r="M356">
        <v>300</v>
      </c>
      <c r="N356" t="s">
        <v>567</v>
      </c>
      <c r="O356" t="s">
        <v>266</v>
      </c>
      <c r="P356" t="s">
        <v>18</v>
      </c>
      <c r="Q356" t="s">
        <v>568</v>
      </c>
      <c r="R356" s="14">
        <v>0.41095890410958902</v>
      </c>
    </row>
    <row r="357" spans="1:18" hidden="1" x14ac:dyDescent="0.3">
      <c r="A357" t="s">
        <v>932</v>
      </c>
      <c r="B357" s="1">
        <v>46023</v>
      </c>
      <c r="C357" t="s">
        <v>1234</v>
      </c>
      <c r="D357" t="s">
        <v>87</v>
      </c>
      <c r="E357" t="s">
        <v>393</v>
      </c>
      <c r="F357" s="2" t="s">
        <v>394</v>
      </c>
      <c r="G357" t="s">
        <v>371</v>
      </c>
      <c r="H357">
        <v>1</v>
      </c>
      <c r="I357">
        <v>1150</v>
      </c>
      <c r="J357">
        <v>0</v>
      </c>
      <c r="K357">
        <v>1150</v>
      </c>
      <c r="L357">
        <v>700</v>
      </c>
      <c r="M357">
        <v>450</v>
      </c>
      <c r="N357" t="s">
        <v>576</v>
      </c>
      <c r="O357" t="s">
        <v>269</v>
      </c>
      <c r="P357" t="s">
        <v>13</v>
      </c>
      <c r="Q357" t="s">
        <v>585</v>
      </c>
      <c r="R357" s="14">
        <v>0.39130434782608697</v>
      </c>
    </row>
    <row r="358" spans="1:18" hidden="1" x14ac:dyDescent="0.3">
      <c r="A358" t="s">
        <v>933</v>
      </c>
      <c r="B358" s="1">
        <v>46112</v>
      </c>
      <c r="C358" t="s">
        <v>1230</v>
      </c>
      <c r="D358" t="s">
        <v>213</v>
      </c>
      <c r="E358" t="s">
        <v>350</v>
      </c>
      <c r="F358" s="2" t="s">
        <v>351</v>
      </c>
      <c r="G358" t="s">
        <v>352</v>
      </c>
      <c r="H358">
        <v>2</v>
      </c>
      <c r="I358">
        <v>900</v>
      </c>
      <c r="J358">
        <v>0</v>
      </c>
      <c r="K358">
        <v>1800</v>
      </c>
      <c r="L358">
        <v>1080</v>
      </c>
      <c r="M358">
        <v>720</v>
      </c>
      <c r="N358" t="s">
        <v>576</v>
      </c>
      <c r="O358" t="s">
        <v>266</v>
      </c>
      <c r="P358" t="s">
        <v>13</v>
      </c>
      <c r="Q358" t="s">
        <v>568</v>
      </c>
      <c r="R358" s="14">
        <v>0.4</v>
      </c>
    </row>
    <row r="359" spans="1:18" hidden="1" x14ac:dyDescent="0.3">
      <c r="A359" t="s">
        <v>934</v>
      </c>
      <c r="B359" s="1">
        <v>46197</v>
      </c>
      <c r="C359" t="s">
        <v>1233</v>
      </c>
      <c r="D359" t="s">
        <v>181</v>
      </c>
      <c r="E359" t="s">
        <v>393</v>
      </c>
      <c r="F359" s="2" t="s">
        <v>394</v>
      </c>
      <c r="G359" t="s">
        <v>371</v>
      </c>
      <c r="H359">
        <v>1</v>
      </c>
      <c r="I359">
        <v>1150</v>
      </c>
      <c r="J359">
        <v>50</v>
      </c>
      <c r="K359">
        <v>1100</v>
      </c>
      <c r="L359">
        <v>700</v>
      </c>
      <c r="M359">
        <v>400</v>
      </c>
      <c r="N359" t="s">
        <v>573</v>
      </c>
      <c r="O359" t="s">
        <v>269</v>
      </c>
      <c r="P359" t="s">
        <v>8</v>
      </c>
      <c r="Q359" t="s">
        <v>568</v>
      </c>
      <c r="R359" s="14">
        <v>0.36363636363636398</v>
      </c>
    </row>
    <row r="360" spans="1:18" hidden="1" x14ac:dyDescent="0.3">
      <c r="A360" t="s">
        <v>935</v>
      </c>
      <c r="B360" s="1">
        <v>46104</v>
      </c>
      <c r="C360" t="s">
        <v>1230</v>
      </c>
      <c r="D360" t="s">
        <v>209</v>
      </c>
      <c r="E360" t="s">
        <v>355</v>
      </c>
      <c r="F360" s="2" t="s">
        <v>356</v>
      </c>
      <c r="G360" t="s">
        <v>343</v>
      </c>
      <c r="H360">
        <v>1</v>
      </c>
      <c r="I360">
        <v>550</v>
      </c>
      <c r="J360">
        <v>20</v>
      </c>
      <c r="K360">
        <v>530</v>
      </c>
      <c r="L360">
        <v>300</v>
      </c>
      <c r="M360">
        <v>230</v>
      </c>
      <c r="N360" t="s">
        <v>570</v>
      </c>
      <c r="O360" t="s">
        <v>269</v>
      </c>
      <c r="P360" t="s">
        <v>13</v>
      </c>
      <c r="Q360" t="s">
        <v>568</v>
      </c>
      <c r="R360" s="14">
        <v>0.43396226415094302</v>
      </c>
    </row>
    <row r="361" spans="1:18" hidden="1" x14ac:dyDescent="0.3">
      <c r="A361" t="s">
        <v>936</v>
      </c>
      <c r="B361" s="1">
        <v>46024</v>
      </c>
      <c r="C361" t="s">
        <v>1234</v>
      </c>
      <c r="D361" t="s">
        <v>133</v>
      </c>
      <c r="E361" t="s">
        <v>369</v>
      </c>
      <c r="F361" s="2" t="s">
        <v>370</v>
      </c>
      <c r="G361" t="s">
        <v>371</v>
      </c>
      <c r="H361">
        <v>1</v>
      </c>
      <c r="I361">
        <v>1450</v>
      </c>
      <c r="J361">
        <v>50</v>
      </c>
      <c r="K361">
        <v>1400</v>
      </c>
      <c r="L361">
        <v>900</v>
      </c>
      <c r="M361">
        <v>500</v>
      </c>
      <c r="N361" t="s">
        <v>567</v>
      </c>
      <c r="O361" t="s">
        <v>269</v>
      </c>
      <c r="P361" t="s">
        <v>8</v>
      </c>
      <c r="Q361" t="s">
        <v>568</v>
      </c>
      <c r="R361" s="14">
        <v>0.35714285714285698</v>
      </c>
    </row>
    <row r="362" spans="1:18" hidden="1" x14ac:dyDescent="0.3">
      <c r="A362" t="s">
        <v>937</v>
      </c>
      <c r="B362" s="1">
        <v>46073</v>
      </c>
      <c r="C362" t="s">
        <v>1235</v>
      </c>
      <c r="D362" t="s">
        <v>243</v>
      </c>
      <c r="E362" t="s">
        <v>393</v>
      </c>
      <c r="F362" s="2" t="s">
        <v>394</v>
      </c>
      <c r="G362" t="s">
        <v>371</v>
      </c>
      <c r="H362">
        <v>2</v>
      </c>
      <c r="I362">
        <v>1150</v>
      </c>
      <c r="J362">
        <v>20</v>
      </c>
      <c r="K362">
        <v>2280</v>
      </c>
      <c r="L362">
        <v>1400</v>
      </c>
      <c r="M362">
        <v>880</v>
      </c>
      <c r="N362" t="s">
        <v>573</v>
      </c>
      <c r="O362" t="s">
        <v>269</v>
      </c>
      <c r="P362" t="s">
        <v>18</v>
      </c>
      <c r="Q362" t="s">
        <v>585</v>
      </c>
      <c r="R362" s="14">
        <v>0.38596491228070201</v>
      </c>
    </row>
    <row r="363" spans="1:18" hidden="1" x14ac:dyDescent="0.3">
      <c r="A363" t="s">
        <v>938</v>
      </c>
      <c r="B363" s="1">
        <v>46115</v>
      </c>
      <c r="C363" t="s">
        <v>1231</v>
      </c>
      <c r="D363" t="s">
        <v>83</v>
      </c>
      <c r="E363" t="s">
        <v>355</v>
      </c>
      <c r="F363" s="2" t="s">
        <v>356</v>
      </c>
      <c r="G363" t="s">
        <v>343</v>
      </c>
      <c r="H363">
        <v>2</v>
      </c>
      <c r="I363">
        <v>550</v>
      </c>
      <c r="J363">
        <v>50</v>
      </c>
      <c r="K363">
        <v>1050</v>
      </c>
      <c r="L363">
        <v>600</v>
      </c>
      <c r="M363">
        <v>450</v>
      </c>
      <c r="N363" t="s">
        <v>570</v>
      </c>
      <c r="O363" t="s">
        <v>266</v>
      </c>
      <c r="P363" t="s">
        <v>8</v>
      </c>
      <c r="Q363" t="s">
        <v>568</v>
      </c>
      <c r="R363" s="14">
        <v>0.42857142857142899</v>
      </c>
    </row>
    <row r="364" spans="1:18" hidden="1" x14ac:dyDescent="0.3">
      <c r="A364" t="s">
        <v>939</v>
      </c>
      <c r="B364" s="1">
        <v>46257</v>
      </c>
      <c r="C364" t="s">
        <v>1236</v>
      </c>
      <c r="D364" t="s">
        <v>137</v>
      </c>
      <c r="E364" t="s">
        <v>387</v>
      </c>
      <c r="F364" s="2" t="s">
        <v>388</v>
      </c>
      <c r="G364" t="s">
        <v>347</v>
      </c>
      <c r="H364">
        <v>2</v>
      </c>
      <c r="I364">
        <v>850</v>
      </c>
      <c r="J364">
        <v>20</v>
      </c>
      <c r="K364">
        <v>1680</v>
      </c>
      <c r="L364">
        <v>1040</v>
      </c>
      <c r="M364">
        <v>640</v>
      </c>
      <c r="N364" t="s">
        <v>567</v>
      </c>
      <c r="O364" t="s">
        <v>269</v>
      </c>
      <c r="P364" t="s">
        <v>8</v>
      </c>
      <c r="Q364" t="s">
        <v>585</v>
      </c>
      <c r="R364" s="14">
        <v>0.38095238095238099</v>
      </c>
    </row>
    <row r="365" spans="1:18" hidden="1" x14ac:dyDescent="0.3">
      <c r="A365" t="s">
        <v>940</v>
      </c>
      <c r="B365" s="1">
        <v>46045</v>
      </c>
      <c r="C365" t="s">
        <v>1234</v>
      </c>
      <c r="D365" t="s">
        <v>55</v>
      </c>
      <c r="E365" t="s">
        <v>396</v>
      </c>
      <c r="F365" s="2" t="s">
        <v>397</v>
      </c>
      <c r="G365" t="s">
        <v>376</v>
      </c>
      <c r="H365">
        <v>2</v>
      </c>
      <c r="I365">
        <v>600</v>
      </c>
      <c r="J365">
        <v>0</v>
      </c>
      <c r="K365">
        <v>1200</v>
      </c>
      <c r="L365">
        <v>700</v>
      </c>
      <c r="M365">
        <v>500</v>
      </c>
      <c r="N365" t="s">
        <v>573</v>
      </c>
      <c r="O365" t="s">
        <v>266</v>
      </c>
      <c r="P365" t="s">
        <v>13</v>
      </c>
      <c r="Q365" t="s">
        <v>574</v>
      </c>
      <c r="R365" s="14">
        <v>0.41666666666666702</v>
      </c>
    </row>
    <row r="366" spans="1:18" hidden="1" x14ac:dyDescent="0.3">
      <c r="A366" t="s">
        <v>941</v>
      </c>
      <c r="B366" s="1">
        <v>46095</v>
      </c>
      <c r="C366" t="s">
        <v>1230</v>
      </c>
      <c r="D366" t="s">
        <v>113</v>
      </c>
      <c r="E366" t="s">
        <v>345</v>
      </c>
      <c r="F366" s="2" t="s">
        <v>346</v>
      </c>
      <c r="G366" t="s">
        <v>347</v>
      </c>
      <c r="H366">
        <v>1</v>
      </c>
      <c r="I366">
        <v>700</v>
      </c>
      <c r="J366">
        <v>0</v>
      </c>
      <c r="K366">
        <v>700</v>
      </c>
      <c r="L366">
        <v>410</v>
      </c>
      <c r="M366">
        <v>290</v>
      </c>
      <c r="N366" t="s">
        <v>579</v>
      </c>
      <c r="O366" t="s">
        <v>266</v>
      </c>
      <c r="P366" t="s">
        <v>8</v>
      </c>
      <c r="Q366" t="s">
        <v>568</v>
      </c>
      <c r="R366" s="14">
        <v>0.41428571428571398</v>
      </c>
    </row>
    <row r="367" spans="1:18" hidden="1" x14ac:dyDescent="0.3">
      <c r="A367" t="s">
        <v>942</v>
      </c>
      <c r="B367" s="1">
        <v>46085</v>
      </c>
      <c r="C367" t="s">
        <v>1230</v>
      </c>
      <c r="D367" t="s">
        <v>53</v>
      </c>
      <c r="E367" t="s">
        <v>415</v>
      </c>
      <c r="F367" s="2" t="s">
        <v>416</v>
      </c>
      <c r="G367" t="s">
        <v>347</v>
      </c>
      <c r="H367">
        <v>3</v>
      </c>
      <c r="I367">
        <v>1250</v>
      </c>
      <c r="J367">
        <v>75</v>
      </c>
      <c r="K367">
        <v>3675</v>
      </c>
      <c r="L367">
        <v>2280</v>
      </c>
      <c r="M367">
        <v>1395</v>
      </c>
      <c r="N367" t="s">
        <v>570</v>
      </c>
      <c r="O367" t="s">
        <v>266</v>
      </c>
      <c r="P367" t="s">
        <v>8</v>
      </c>
      <c r="Q367" t="s">
        <v>568</v>
      </c>
      <c r="R367" s="14">
        <v>0.37959183673469399</v>
      </c>
    </row>
    <row r="368" spans="1:18" x14ac:dyDescent="0.3">
      <c r="A368" t="s">
        <v>943</v>
      </c>
      <c r="B368" s="1">
        <v>46189</v>
      </c>
      <c r="C368" t="s">
        <v>1233</v>
      </c>
      <c r="D368" t="s">
        <v>75</v>
      </c>
      <c r="E368" t="s">
        <v>419</v>
      </c>
      <c r="F368" s="2" t="s">
        <v>420</v>
      </c>
      <c r="G368" t="s">
        <v>362</v>
      </c>
      <c r="H368">
        <v>2</v>
      </c>
      <c r="I368">
        <v>1350</v>
      </c>
      <c r="J368">
        <v>50</v>
      </c>
      <c r="K368">
        <v>2650</v>
      </c>
      <c r="L368">
        <v>1700</v>
      </c>
      <c r="M368">
        <v>950</v>
      </c>
      <c r="N368" t="s">
        <v>576</v>
      </c>
      <c r="O368" t="s">
        <v>269</v>
      </c>
      <c r="P368" t="s">
        <v>18</v>
      </c>
      <c r="Q368" t="s">
        <v>568</v>
      </c>
      <c r="R368" s="14">
        <v>0.35849056603773599</v>
      </c>
    </row>
    <row r="369" spans="1:18" hidden="1" x14ac:dyDescent="0.3">
      <c r="A369" t="s">
        <v>944</v>
      </c>
      <c r="B369" s="1">
        <v>46041</v>
      </c>
      <c r="C369" t="s">
        <v>1234</v>
      </c>
      <c r="D369" t="s">
        <v>65</v>
      </c>
      <c r="E369" t="s">
        <v>400</v>
      </c>
      <c r="F369" s="2" t="s">
        <v>401</v>
      </c>
      <c r="G369" t="s">
        <v>384</v>
      </c>
      <c r="H369">
        <v>2</v>
      </c>
      <c r="I369">
        <v>950</v>
      </c>
      <c r="J369">
        <v>100</v>
      </c>
      <c r="K369">
        <v>1800</v>
      </c>
      <c r="L369">
        <v>1140</v>
      </c>
      <c r="M369">
        <v>660</v>
      </c>
      <c r="N369" t="s">
        <v>579</v>
      </c>
      <c r="O369" t="s">
        <v>266</v>
      </c>
      <c r="P369" t="s">
        <v>8</v>
      </c>
      <c r="Q369" t="s">
        <v>574</v>
      </c>
      <c r="R369" s="14">
        <v>0.36666666666666697</v>
      </c>
    </row>
    <row r="370" spans="1:18" hidden="1" x14ac:dyDescent="0.3">
      <c r="A370" t="s">
        <v>945</v>
      </c>
      <c r="B370" s="1">
        <v>46161</v>
      </c>
      <c r="C370" t="s">
        <v>1237</v>
      </c>
      <c r="D370" t="s">
        <v>105</v>
      </c>
      <c r="E370" t="s">
        <v>393</v>
      </c>
      <c r="F370" s="2" t="s">
        <v>394</v>
      </c>
      <c r="G370" t="s">
        <v>371</v>
      </c>
      <c r="H370">
        <v>1</v>
      </c>
      <c r="I370">
        <v>1150</v>
      </c>
      <c r="J370">
        <v>50</v>
      </c>
      <c r="K370">
        <v>1100</v>
      </c>
      <c r="L370">
        <v>700</v>
      </c>
      <c r="M370">
        <v>400</v>
      </c>
      <c r="N370" t="s">
        <v>573</v>
      </c>
      <c r="O370" t="s">
        <v>266</v>
      </c>
      <c r="P370" t="s">
        <v>13</v>
      </c>
      <c r="Q370" t="s">
        <v>574</v>
      </c>
      <c r="R370" s="14">
        <v>0.36363636363636398</v>
      </c>
    </row>
    <row r="371" spans="1:18" hidden="1" x14ac:dyDescent="0.3">
      <c r="A371" t="s">
        <v>946</v>
      </c>
      <c r="B371" s="1">
        <v>46053</v>
      </c>
      <c r="C371" t="s">
        <v>1234</v>
      </c>
      <c r="D371" t="s">
        <v>14</v>
      </c>
      <c r="E371" t="s">
        <v>355</v>
      </c>
      <c r="F371" s="2" t="s">
        <v>356</v>
      </c>
      <c r="G371" t="s">
        <v>343</v>
      </c>
      <c r="H371">
        <v>2</v>
      </c>
      <c r="I371">
        <v>550</v>
      </c>
      <c r="J371">
        <v>20</v>
      </c>
      <c r="K371">
        <v>1080</v>
      </c>
      <c r="L371">
        <v>600</v>
      </c>
      <c r="M371">
        <v>480</v>
      </c>
      <c r="N371" t="s">
        <v>573</v>
      </c>
      <c r="O371" t="s">
        <v>269</v>
      </c>
      <c r="P371" t="s">
        <v>8</v>
      </c>
      <c r="Q371" t="s">
        <v>574</v>
      </c>
      <c r="R371" s="14">
        <v>0.44444444444444398</v>
      </c>
    </row>
    <row r="372" spans="1:18" hidden="1" x14ac:dyDescent="0.3">
      <c r="A372" t="s">
        <v>947</v>
      </c>
      <c r="B372" s="1">
        <v>46067</v>
      </c>
      <c r="C372" t="s">
        <v>1235</v>
      </c>
      <c r="D372" t="s">
        <v>14</v>
      </c>
      <c r="E372" t="s">
        <v>400</v>
      </c>
      <c r="F372" s="2" t="s">
        <v>401</v>
      </c>
      <c r="G372" t="s">
        <v>384</v>
      </c>
      <c r="H372">
        <v>4</v>
      </c>
      <c r="I372">
        <v>950</v>
      </c>
      <c r="J372">
        <v>20</v>
      </c>
      <c r="K372">
        <v>3780</v>
      </c>
      <c r="L372">
        <v>2280</v>
      </c>
      <c r="M372">
        <v>1500</v>
      </c>
      <c r="N372" t="s">
        <v>579</v>
      </c>
      <c r="O372" t="s">
        <v>269</v>
      </c>
      <c r="P372" t="s">
        <v>8</v>
      </c>
      <c r="Q372" t="s">
        <v>568</v>
      </c>
      <c r="R372" s="14">
        <v>0.39682539682539703</v>
      </c>
    </row>
    <row r="373" spans="1:18" hidden="1" x14ac:dyDescent="0.3">
      <c r="A373" t="s">
        <v>948</v>
      </c>
      <c r="B373" s="1">
        <v>46081</v>
      </c>
      <c r="C373" t="s">
        <v>1235</v>
      </c>
      <c r="D373" t="s">
        <v>37</v>
      </c>
      <c r="E373" t="s">
        <v>393</v>
      </c>
      <c r="F373" s="2" t="s">
        <v>394</v>
      </c>
      <c r="G373" t="s">
        <v>371</v>
      </c>
      <c r="H373">
        <v>1</v>
      </c>
      <c r="I373">
        <v>1150</v>
      </c>
      <c r="J373">
        <v>0</v>
      </c>
      <c r="K373">
        <v>1150</v>
      </c>
      <c r="L373">
        <v>700</v>
      </c>
      <c r="M373">
        <v>450</v>
      </c>
      <c r="N373" t="s">
        <v>567</v>
      </c>
      <c r="O373" t="s">
        <v>266</v>
      </c>
      <c r="P373" t="s">
        <v>8</v>
      </c>
      <c r="Q373" t="s">
        <v>585</v>
      </c>
      <c r="R373" s="14">
        <v>0.39130434782608697</v>
      </c>
    </row>
    <row r="374" spans="1:18" hidden="1" x14ac:dyDescent="0.3">
      <c r="A374" t="s">
        <v>949</v>
      </c>
      <c r="B374" s="1">
        <v>46057</v>
      </c>
      <c r="C374" t="s">
        <v>1235</v>
      </c>
      <c r="D374" t="s">
        <v>181</v>
      </c>
      <c r="E374" t="s">
        <v>366</v>
      </c>
      <c r="F374" s="2" t="s">
        <v>367</v>
      </c>
      <c r="G374" t="s">
        <v>352</v>
      </c>
      <c r="H374">
        <v>1</v>
      </c>
      <c r="I374">
        <v>1500</v>
      </c>
      <c r="J374">
        <v>20</v>
      </c>
      <c r="K374">
        <v>1480</v>
      </c>
      <c r="L374">
        <v>920</v>
      </c>
      <c r="M374">
        <v>560</v>
      </c>
      <c r="N374" t="s">
        <v>576</v>
      </c>
      <c r="O374" t="s">
        <v>266</v>
      </c>
      <c r="P374" t="s">
        <v>13</v>
      </c>
      <c r="Q374" t="s">
        <v>571</v>
      </c>
      <c r="R374" s="14">
        <v>0.37837837837837801</v>
      </c>
    </row>
    <row r="375" spans="1:18" hidden="1" x14ac:dyDescent="0.3">
      <c r="A375" t="s">
        <v>950</v>
      </c>
      <c r="B375" s="1">
        <v>46167</v>
      </c>
      <c r="C375" t="s">
        <v>1237</v>
      </c>
      <c r="D375" t="s">
        <v>225</v>
      </c>
      <c r="E375" t="s">
        <v>366</v>
      </c>
      <c r="F375" s="2" t="s">
        <v>367</v>
      </c>
      <c r="G375" t="s">
        <v>352</v>
      </c>
      <c r="H375">
        <v>2</v>
      </c>
      <c r="I375">
        <v>1500</v>
      </c>
      <c r="J375">
        <v>0</v>
      </c>
      <c r="K375">
        <v>3000</v>
      </c>
      <c r="L375">
        <v>1840</v>
      </c>
      <c r="M375">
        <v>1160</v>
      </c>
      <c r="N375" t="s">
        <v>576</v>
      </c>
      <c r="O375" t="s">
        <v>269</v>
      </c>
      <c r="P375" t="s">
        <v>13</v>
      </c>
      <c r="Q375" t="s">
        <v>574</v>
      </c>
      <c r="R375" s="14">
        <v>0.38666666666666699</v>
      </c>
    </row>
    <row r="376" spans="1:18" hidden="1" x14ac:dyDescent="0.3">
      <c r="A376" t="s">
        <v>951</v>
      </c>
      <c r="B376" s="1">
        <v>46145</v>
      </c>
      <c r="C376" t="s">
        <v>1237</v>
      </c>
      <c r="D376" t="s">
        <v>181</v>
      </c>
      <c r="E376" t="s">
        <v>366</v>
      </c>
      <c r="F376" s="2" t="s">
        <v>367</v>
      </c>
      <c r="G376" t="s">
        <v>352</v>
      </c>
      <c r="H376">
        <v>1</v>
      </c>
      <c r="I376">
        <v>1500</v>
      </c>
      <c r="J376">
        <v>50</v>
      </c>
      <c r="K376">
        <v>1450</v>
      </c>
      <c r="L376">
        <v>920</v>
      </c>
      <c r="M376">
        <v>530</v>
      </c>
      <c r="N376" t="s">
        <v>570</v>
      </c>
      <c r="O376" t="s">
        <v>269</v>
      </c>
      <c r="P376" t="s">
        <v>8</v>
      </c>
      <c r="Q376" t="s">
        <v>585</v>
      </c>
      <c r="R376" s="14">
        <v>0.36551724137931002</v>
      </c>
    </row>
    <row r="377" spans="1:18" hidden="1" x14ac:dyDescent="0.3">
      <c r="A377" t="s">
        <v>952</v>
      </c>
      <c r="B377" s="1">
        <v>46196</v>
      </c>
      <c r="C377" t="s">
        <v>1233</v>
      </c>
      <c r="D377" t="s">
        <v>223</v>
      </c>
      <c r="E377" t="s">
        <v>366</v>
      </c>
      <c r="F377" s="2" t="s">
        <v>367</v>
      </c>
      <c r="G377" t="s">
        <v>352</v>
      </c>
      <c r="H377">
        <v>1</v>
      </c>
      <c r="I377">
        <v>1500</v>
      </c>
      <c r="J377">
        <v>0</v>
      </c>
      <c r="K377">
        <v>1500</v>
      </c>
      <c r="L377">
        <v>920</v>
      </c>
      <c r="M377">
        <v>580</v>
      </c>
      <c r="N377" t="s">
        <v>567</v>
      </c>
      <c r="O377" t="s">
        <v>266</v>
      </c>
      <c r="P377" t="s">
        <v>18</v>
      </c>
      <c r="Q377" t="s">
        <v>574</v>
      </c>
      <c r="R377" s="14">
        <v>0.38666666666666699</v>
      </c>
    </row>
    <row r="378" spans="1:18" hidden="1" x14ac:dyDescent="0.3">
      <c r="A378" t="s">
        <v>953</v>
      </c>
      <c r="B378" s="1">
        <v>46147</v>
      </c>
      <c r="C378" t="s">
        <v>1237</v>
      </c>
      <c r="D378" t="s">
        <v>205</v>
      </c>
      <c r="E378" t="s">
        <v>415</v>
      </c>
      <c r="F378" s="2" t="s">
        <v>416</v>
      </c>
      <c r="G378" t="s">
        <v>347</v>
      </c>
      <c r="H378">
        <v>1</v>
      </c>
      <c r="I378">
        <v>1250</v>
      </c>
      <c r="J378">
        <v>20</v>
      </c>
      <c r="K378">
        <v>1230</v>
      </c>
      <c r="L378">
        <v>760</v>
      </c>
      <c r="M378">
        <v>470</v>
      </c>
      <c r="N378" t="s">
        <v>567</v>
      </c>
      <c r="O378" t="s">
        <v>269</v>
      </c>
      <c r="P378" t="s">
        <v>8</v>
      </c>
      <c r="Q378" t="s">
        <v>574</v>
      </c>
      <c r="R378" s="14">
        <v>0.38211382113821102</v>
      </c>
    </row>
    <row r="379" spans="1:18" hidden="1" x14ac:dyDescent="0.3">
      <c r="A379" t="s">
        <v>954</v>
      </c>
      <c r="B379" s="1">
        <v>46104</v>
      </c>
      <c r="C379" t="s">
        <v>1230</v>
      </c>
      <c r="D379" t="s">
        <v>215</v>
      </c>
      <c r="E379" t="s">
        <v>415</v>
      </c>
      <c r="F379" s="2" t="s">
        <v>416</v>
      </c>
      <c r="G379" t="s">
        <v>347</v>
      </c>
      <c r="H379">
        <v>2</v>
      </c>
      <c r="I379">
        <v>1250</v>
      </c>
      <c r="J379">
        <v>50</v>
      </c>
      <c r="K379">
        <v>2450</v>
      </c>
      <c r="L379">
        <v>1520</v>
      </c>
      <c r="M379">
        <v>930</v>
      </c>
      <c r="N379" t="s">
        <v>573</v>
      </c>
      <c r="O379" t="s">
        <v>266</v>
      </c>
      <c r="P379" t="s">
        <v>8</v>
      </c>
      <c r="Q379" t="s">
        <v>574</v>
      </c>
      <c r="R379" s="14">
        <v>0.37959183673469399</v>
      </c>
    </row>
    <row r="380" spans="1:18" x14ac:dyDescent="0.3">
      <c r="A380" t="s">
        <v>955</v>
      </c>
      <c r="B380" s="1">
        <v>46167</v>
      </c>
      <c r="C380" t="s">
        <v>1237</v>
      </c>
      <c r="D380" t="s">
        <v>209</v>
      </c>
      <c r="E380" t="s">
        <v>360</v>
      </c>
      <c r="F380" s="2" t="s">
        <v>361</v>
      </c>
      <c r="G380" t="s">
        <v>362</v>
      </c>
      <c r="H380">
        <v>1</v>
      </c>
      <c r="I380">
        <v>1100</v>
      </c>
      <c r="J380">
        <v>0</v>
      </c>
      <c r="K380">
        <v>1100</v>
      </c>
      <c r="L380">
        <v>680</v>
      </c>
      <c r="M380">
        <v>420</v>
      </c>
      <c r="N380" t="s">
        <v>576</v>
      </c>
      <c r="O380" t="s">
        <v>266</v>
      </c>
      <c r="P380" t="s">
        <v>18</v>
      </c>
      <c r="Q380" t="s">
        <v>568</v>
      </c>
      <c r="R380" s="14">
        <v>0.381818181818182</v>
      </c>
    </row>
    <row r="381" spans="1:18" hidden="1" x14ac:dyDescent="0.3">
      <c r="A381" t="s">
        <v>956</v>
      </c>
      <c r="B381" s="1">
        <v>46195</v>
      </c>
      <c r="C381" t="s">
        <v>1233</v>
      </c>
      <c r="D381" t="s">
        <v>101</v>
      </c>
      <c r="E381" t="s">
        <v>393</v>
      </c>
      <c r="F381" s="2" t="s">
        <v>394</v>
      </c>
      <c r="G381" t="s">
        <v>371</v>
      </c>
      <c r="H381">
        <v>3</v>
      </c>
      <c r="I381">
        <v>1150</v>
      </c>
      <c r="J381">
        <v>50</v>
      </c>
      <c r="K381">
        <v>3400</v>
      </c>
      <c r="L381">
        <v>2100</v>
      </c>
      <c r="M381">
        <v>1300</v>
      </c>
      <c r="N381" t="s">
        <v>576</v>
      </c>
      <c r="O381" t="s">
        <v>266</v>
      </c>
      <c r="P381" t="s">
        <v>13</v>
      </c>
      <c r="Q381" t="s">
        <v>585</v>
      </c>
      <c r="R381" s="14">
        <v>0.38235294117647101</v>
      </c>
    </row>
    <row r="382" spans="1:18" x14ac:dyDescent="0.3">
      <c r="A382" t="s">
        <v>957</v>
      </c>
      <c r="B382" s="1">
        <v>46042</v>
      </c>
      <c r="C382" t="s">
        <v>1234</v>
      </c>
      <c r="D382" t="s">
        <v>89</v>
      </c>
      <c r="E382" t="s">
        <v>360</v>
      </c>
      <c r="F382" s="2" t="s">
        <v>361</v>
      </c>
      <c r="G382" t="s">
        <v>362</v>
      </c>
      <c r="H382">
        <v>1</v>
      </c>
      <c r="I382">
        <v>1100</v>
      </c>
      <c r="J382">
        <v>50</v>
      </c>
      <c r="K382">
        <v>1050</v>
      </c>
      <c r="L382">
        <v>680</v>
      </c>
      <c r="M382">
        <v>370</v>
      </c>
      <c r="N382" t="s">
        <v>579</v>
      </c>
      <c r="O382" t="s">
        <v>266</v>
      </c>
      <c r="P382" t="s">
        <v>8</v>
      </c>
      <c r="Q382" t="s">
        <v>568</v>
      </c>
      <c r="R382" s="14">
        <v>0.35238095238095202</v>
      </c>
    </row>
    <row r="383" spans="1:18" hidden="1" x14ac:dyDescent="0.3">
      <c r="A383" t="s">
        <v>958</v>
      </c>
      <c r="B383" s="1">
        <v>46074</v>
      </c>
      <c r="C383" t="s">
        <v>1235</v>
      </c>
      <c r="D383" t="s">
        <v>199</v>
      </c>
      <c r="E383" t="s">
        <v>415</v>
      </c>
      <c r="F383" s="2" t="s">
        <v>416</v>
      </c>
      <c r="G383" t="s">
        <v>347</v>
      </c>
      <c r="H383">
        <v>1</v>
      </c>
      <c r="I383">
        <v>1250</v>
      </c>
      <c r="J383">
        <v>0</v>
      </c>
      <c r="K383">
        <v>1250</v>
      </c>
      <c r="L383">
        <v>760</v>
      </c>
      <c r="M383">
        <v>490</v>
      </c>
      <c r="N383" t="s">
        <v>579</v>
      </c>
      <c r="O383" t="s">
        <v>266</v>
      </c>
      <c r="P383" t="s">
        <v>8</v>
      </c>
      <c r="Q383" t="s">
        <v>574</v>
      </c>
      <c r="R383" s="14">
        <v>0.39200000000000002</v>
      </c>
    </row>
    <row r="384" spans="1:18" hidden="1" x14ac:dyDescent="0.3">
      <c r="A384" t="s">
        <v>959</v>
      </c>
      <c r="B384" s="1">
        <v>46225</v>
      </c>
      <c r="C384" t="s">
        <v>1232</v>
      </c>
      <c r="D384" t="s">
        <v>135</v>
      </c>
      <c r="E384" t="s">
        <v>396</v>
      </c>
      <c r="F384" s="2" t="s">
        <v>397</v>
      </c>
      <c r="G384" t="s">
        <v>376</v>
      </c>
      <c r="H384">
        <v>2</v>
      </c>
      <c r="I384">
        <v>600</v>
      </c>
      <c r="J384">
        <v>20</v>
      </c>
      <c r="K384">
        <v>1180</v>
      </c>
      <c r="L384">
        <v>700</v>
      </c>
      <c r="M384">
        <v>480</v>
      </c>
      <c r="N384" t="s">
        <v>573</v>
      </c>
      <c r="O384" t="s">
        <v>269</v>
      </c>
      <c r="P384" t="s">
        <v>8</v>
      </c>
      <c r="Q384" t="s">
        <v>585</v>
      </c>
      <c r="R384" s="14">
        <v>0.40677966101694901</v>
      </c>
    </row>
    <row r="385" spans="1:18" hidden="1" x14ac:dyDescent="0.3">
      <c r="A385" t="s">
        <v>960</v>
      </c>
      <c r="B385" s="1">
        <v>46201</v>
      </c>
      <c r="C385" t="s">
        <v>1233</v>
      </c>
      <c r="D385" t="s">
        <v>101</v>
      </c>
      <c r="E385" t="s">
        <v>341</v>
      </c>
      <c r="F385" s="2" t="s">
        <v>342</v>
      </c>
      <c r="G385" t="s">
        <v>343</v>
      </c>
      <c r="H385">
        <v>4</v>
      </c>
      <c r="I385">
        <v>750</v>
      </c>
      <c r="J385">
        <v>20</v>
      </c>
      <c r="K385">
        <v>2980</v>
      </c>
      <c r="L385">
        <v>1720</v>
      </c>
      <c r="M385">
        <v>1260</v>
      </c>
      <c r="N385" t="s">
        <v>576</v>
      </c>
      <c r="O385" t="s">
        <v>269</v>
      </c>
      <c r="P385" t="s">
        <v>13</v>
      </c>
      <c r="Q385" t="s">
        <v>574</v>
      </c>
      <c r="R385" s="14">
        <v>0.422818791946309</v>
      </c>
    </row>
    <row r="386" spans="1:18" hidden="1" x14ac:dyDescent="0.3">
      <c r="A386" t="s">
        <v>961</v>
      </c>
      <c r="B386" s="1">
        <v>46103</v>
      </c>
      <c r="C386" t="s">
        <v>1230</v>
      </c>
      <c r="D386" t="s">
        <v>169</v>
      </c>
      <c r="E386" t="s">
        <v>374</v>
      </c>
      <c r="F386" s="2" t="s">
        <v>375</v>
      </c>
      <c r="G386" t="s">
        <v>376</v>
      </c>
      <c r="H386">
        <v>1</v>
      </c>
      <c r="I386">
        <v>800</v>
      </c>
      <c r="J386">
        <v>75</v>
      </c>
      <c r="K386">
        <v>725</v>
      </c>
      <c r="L386">
        <v>470</v>
      </c>
      <c r="M386">
        <v>255</v>
      </c>
      <c r="N386" t="s">
        <v>573</v>
      </c>
      <c r="O386" t="s">
        <v>269</v>
      </c>
      <c r="P386" t="s">
        <v>18</v>
      </c>
      <c r="Q386" t="s">
        <v>568</v>
      </c>
      <c r="R386" s="14">
        <v>0.35172413793103402</v>
      </c>
    </row>
    <row r="387" spans="1:18" hidden="1" x14ac:dyDescent="0.3">
      <c r="A387" t="s">
        <v>962</v>
      </c>
      <c r="B387" s="1">
        <v>46260</v>
      </c>
      <c r="C387" t="s">
        <v>1236</v>
      </c>
      <c r="D387" t="s">
        <v>129</v>
      </c>
      <c r="E387" t="s">
        <v>415</v>
      </c>
      <c r="F387" s="2" t="s">
        <v>416</v>
      </c>
      <c r="G387" t="s">
        <v>347</v>
      </c>
      <c r="H387">
        <v>1</v>
      </c>
      <c r="I387">
        <v>1250</v>
      </c>
      <c r="J387">
        <v>20</v>
      </c>
      <c r="K387">
        <v>1230</v>
      </c>
      <c r="L387">
        <v>760</v>
      </c>
      <c r="M387">
        <v>470</v>
      </c>
      <c r="N387" t="s">
        <v>579</v>
      </c>
      <c r="O387" t="s">
        <v>266</v>
      </c>
      <c r="P387" t="s">
        <v>8</v>
      </c>
      <c r="Q387" t="s">
        <v>574</v>
      </c>
      <c r="R387" s="14">
        <v>0.38211382113821102</v>
      </c>
    </row>
    <row r="388" spans="1:18" hidden="1" x14ac:dyDescent="0.3">
      <c r="A388" t="s">
        <v>963</v>
      </c>
      <c r="B388" s="1">
        <v>46086</v>
      </c>
      <c r="C388" t="s">
        <v>1230</v>
      </c>
      <c r="D388" t="s">
        <v>49</v>
      </c>
      <c r="E388" t="s">
        <v>393</v>
      </c>
      <c r="F388" s="2" t="s">
        <v>394</v>
      </c>
      <c r="G388" t="s">
        <v>371</v>
      </c>
      <c r="H388">
        <v>3</v>
      </c>
      <c r="I388">
        <v>1150</v>
      </c>
      <c r="J388">
        <v>20</v>
      </c>
      <c r="K388">
        <v>3430</v>
      </c>
      <c r="L388">
        <v>2100</v>
      </c>
      <c r="M388">
        <v>1330</v>
      </c>
      <c r="N388" t="s">
        <v>576</v>
      </c>
      <c r="O388" t="s">
        <v>266</v>
      </c>
      <c r="P388" t="s">
        <v>13</v>
      </c>
      <c r="Q388" t="s">
        <v>568</v>
      </c>
      <c r="R388" s="14">
        <v>0.38775510204081598</v>
      </c>
    </row>
    <row r="389" spans="1:18" hidden="1" x14ac:dyDescent="0.3">
      <c r="A389" t="s">
        <v>964</v>
      </c>
      <c r="B389" s="1">
        <v>46185</v>
      </c>
      <c r="C389" t="s">
        <v>1233</v>
      </c>
      <c r="D389" t="s">
        <v>45</v>
      </c>
      <c r="E389" t="s">
        <v>400</v>
      </c>
      <c r="F389" s="2" t="s">
        <v>401</v>
      </c>
      <c r="G389" t="s">
        <v>384</v>
      </c>
      <c r="H389">
        <v>1</v>
      </c>
      <c r="I389">
        <v>950</v>
      </c>
      <c r="J389">
        <v>50</v>
      </c>
      <c r="K389">
        <v>900</v>
      </c>
      <c r="L389">
        <v>570</v>
      </c>
      <c r="M389">
        <v>330</v>
      </c>
      <c r="N389" t="s">
        <v>579</v>
      </c>
      <c r="O389" t="s">
        <v>266</v>
      </c>
      <c r="P389" t="s">
        <v>8</v>
      </c>
      <c r="Q389" t="s">
        <v>585</v>
      </c>
      <c r="R389" s="14">
        <v>0.36666666666666697</v>
      </c>
    </row>
    <row r="390" spans="1:18" x14ac:dyDescent="0.3">
      <c r="A390" t="s">
        <v>965</v>
      </c>
      <c r="B390" s="1">
        <v>46058</v>
      </c>
      <c r="C390" t="s">
        <v>1235</v>
      </c>
      <c r="D390" t="s">
        <v>57</v>
      </c>
      <c r="E390" t="s">
        <v>360</v>
      </c>
      <c r="F390" s="2" t="s">
        <v>361</v>
      </c>
      <c r="G390" t="s">
        <v>362</v>
      </c>
      <c r="H390">
        <v>1</v>
      </c>
      <c r="I390">
        <v>1100</v>
      </c>
      <c r="J390">
        <v>0</v>
      </c>
      <c r="K390">
        <v>1100</v>
      </c>
      <c r="L390">
        <v>680</v>
      </c>
      <c r="M390">
        <v>420</v>
      </c>
      <c r="N390" t="s">
        <v>567</v>
      </c>
      <c r="O390" t="s">
        <v>269</v>
      </c>
      <c r="P390" t="s">
        <v>18</v>
      </c>
      <c r="Q390" t="s">
        <v>568</v>
      </c>
      <c r="R390" s="14">
        <v>0.381818181818182</v>
      </c>
    </row>
    <row r="391" spans="1:18" hidden="1" x14ac:dyDescent="0.3">
      <c r="A391" t="s">
        <v>966</v>
      </c>
      <c r="B391" s="1">
        <v>46223</v>
      </c>
      <c r="C391" t="s">
        <v>1232</v>
      </c>
      <c r="D391" t="s">
        <v>6</v>
      </c>
      <c r="E391" t="s">
        <v>400</v>
      </c>
      <c r="F391" s="2" t="s">
        <v>401</v>
      </c>
      <c r="G391" t="s">
        <v>384</v>
      </c>
      <c r="H391">
        <v>3</v>
      </c>
      <c r="I391">
        <v>950</v>
      </c>
      <c r="J391">
        <v>75</v>
      </c>
      <c r="K391">
        <v>2775</v>
      </c>
      <c r="L391">
        <v>1710</v>
      </c>
      <c r="M391">
        <v>1065</v>
      </c>
      <c r="N391" t="s">
        <v>576</v>
      </c>
      <c r="O391" t="s">
        <v>269</v>
      </c>
      <c r="P391" t="s">
        <v>8</v>
      </c>
      <c r="Q391" t="s">
        <v>568</v>
      </c>
      <c r="R391" s="14">
        <v>0.38378378378378403</v>
      </c>
    </row>
    <row r="392" spans="1:18" x14ac:dyDescent="0.3">
      <c r="A392" t="s">
        <v>967</v>
      </c>
      <c r="B392" s="1">
        <v>46150</v>
      </c>
      <c r="C392" t="s">
        <v>1237</v>
      </c>
      <c r="D392" t="s">
        <v>14</v>
      </c>
      <c r="E392" t="s">
        <v>360</v>
      </c>
      <c r="F392" s="2" t="s">
        <v>361</v>
      </c>
      <c r="G392" t="s">
        <v>362</v>
      </c>
      <c r="H392">
        <v>1</v>
      </c>
      <c r="I392">
        <v>1100</v>
      </c>
      <c r="J392">
        <v>0</v>
      </c>
      <c r="K392">
        <v>1100</v>
      </c>
      <c r="L392">
        <v>680</v>
      </c>
      <c r="M392">
        <v>420</v>
      </c>
      <c r="N392" t="s">
        <v>570</v>
      </c>
      <c r="O392" t="s">
        <v>269</v>
      </c>
      <c r="P392" t="s">
        <v>18</v>
      </c>
      <c r="Q392" t="s">
        <v>574</v>
      </c>
      <c r="R392" s="14">
        <v>0.381818181818182</v>
      </c>
    </row>
    <row r="393" spans="1:18" hidden="1" x14ac:dyDescent="0.3">
      <c r="A393" t="s">
        <v>968</v>
      </c>
      <c r="B393" s="1">
        <v>46083</v>
      </c>
      <c r="C393" t="s">
        <v>1230</v>
      </c>
      <c r="D393" t="s">
        <v>173</v>
      </c>
      <c r="E393" t="s">
        <v>366</v>
      </c>
      <c r="F393" s="2" t="s">
        <v>367</v>
      </c>
      <c r="G393" t="s">
        <v>352</v>
      </c>
      <c r="H393">
        <v>3</v>
      </c>
      <c r="I393">
        <v>1500</v>
      </c>
      <c r="J393">
        <v>0</v>
      </c>
      <c r="K393">
        <v>4500</v>
      </c>
      <c r="L393">
        <v>2760</v>
      </c>
      <c r="M393">
        <v>1740</v>
      </c>
      <c r="N393" t="s">
        <v>570</v>
      </c>
      <c r="O393" t="s">
        <v>266</v>
      </c>
      <c r="P393" t="s">
        <v>8</v>
      </c>
      <c r="Q393" t="s">
        <v>568</v>
      </c>
      <c r="R393" s="14">
        <v>0.38666666666666699</v>
      </c>
    </row>
    <row r="394" spans="1:18" x14ac:dyDescent="0.3">
      <c r="A394" t="s">
        <v>969</v>
      </c>
      <c r="B394" s="1">
        <v>46124</v>
      </c>
      <c r="C394" t="s">
        <v>1231</v>
      </c>
      <c r="D394" t="s">
        <v>127</v>
      </c>
      <c r="E394" t="s">
        <v>360</v>
      </c>
      <c r="F394" s="2" t="s">
        <v>361</v>
      </c>
      <c r="G394" t="s">
        <v>362</v>
      </c>
      <c r="H394">
        <v>2</v>
      </c>
      <c r="I394">
        <v>1100</v>
      </c>
      <c r="J394">
        <v>0</v>
      </c>
      <c r="K394">
        <v>2200</v>
      </c>
      <c r="L394">
        <v>1360</v>
      </c>
      <c r="M394">
        <v>840</v>
      </c>
      <c r="N394" t="s">
        <v>579</v>
      </c>
      <c r="O394" t="s">
        <v>266</v>
      </c>
      <c r="P394" t="s">
        <v>8</v>
      </c>
      <c r="Q394" t="s">
        <v>568</v>
      </c>
      <c r="R394" s="14">
        <v>0.381818181818182</v>
      </c>
    </row>
    <row r="395" spans="1:18" hidden="1" x14ac:dyDescent="0.3">
      <c r="A395" t="s">
        <v>970</v>
      </c>
      <c r="B395" s="1">
        <v>46217</v>
      </c>
      <c r="C395" t="s">
        <v>1232</v>
      </c>
      <c r="D395" t="s">
        <v>23</v>
      </c>
      <c r="E395" t="s">
        <v>374</v>
      </c>
      <c r="F395" s="2" t="s">
        <v>375</v>
      </c>
      <c r="G395" t="s">
        <v>376</v>
      </c>
      <c r="H395">
        <v>1</v>
      </c>
      <c r="I395">
        <v>800</v>
      </c>
      <c r="J395">
        <v>75</v>
      </c>
      <c r="K395">
        <v>725</v>
      </c>
      <c r="L395">
        <v>470</v>
      </c>
      <c r="M395">
        <v>255</v>
      </c>
      <c r="N395" t="s">
        <v>570</v>
      </c>
      <c r="O395" t="s">
        <v>266</v>
      </c>
      <c r="P395" t="s">
        <v>13</v>
      </c>
      <c r="Q395" t="s">
        <v>574</v>
      </c>
      <c r="R395" s="14">
        <v>0.35172413793103402</v>
      </c>
    </row>
    <row r="396" spans="1:18" x14ac:dyDescent="0.3">
      <c r="A396" t="s">
        <v>971</v>
      </c>
      <c r="B396" s="1">
        <v>46203</v>
      </c>
      <c r="C396" t="s">
        <v>1233</v>
      </c>
      <c r="D396" t="s">
        <v>33</v>
      </c>
      <c r="E396" t="s">
        <v>360</v>
      </c>
      <c r="F396" s="2" t="s">
        <v>361</v>
      </c>
      <c r="G396" t="s">
        <v>362</v>
      </c>
      <c r="H396">
        <v>1</v>
      </c>
      <c r="I396">
        <v>1100</v>
      </c>
      <c r="J396">
        <v>50</v>
      </c>
      <c r="K396">
        <v>1050</v>
      </c>
      <c r="L396">
        <v>680</v>
      </c>
      <c r="M396">
        <v>370</v>
      </c>
      <c r="N396" t="s">
        <v>567</v>
      </c>
      <c r="O396" t="s">
        <v>269</v>
      </c>
      <c r="P396" t="s">
        <v>13</v>
      </c>
      <c r="Q396" t="s">
        <v>568</v>
      </c>
      <c r="R396" s="14">
        <v>0.35238095238095202</v>
      </c>
    </row>
    <row r="397" spans="1:18" hidden="1" x14ac:dyDescent="0.3">
      <c r="A397" t="s">
        <v>972</v>
      </c>
      <c r="B397" s="1">
        <v>46045</v>
      </c>
      <c r="C397" t="s">
        <v>1234</v>
      </c>
      <c r="D397" t="s">
        <v>71</v>
      </c>
      <c r="E397" t="s">
        <v>382</v>
      </c>
      <c r="F397" s="2" t="s">
        <v>383</v>
      </c>
      <c r="G397" t="s">
        <v>384</v>
      </c>
      <c r="H397">
        <v>1</v>
      </c>
      <c r="I397">
        <v>1200</v>
      </c>
      <c r="J397">
        <v>75</v>
      </c>
      <c r="K397">
        <v>1125</v>
      </c>
      <c r="L397">
        <v>730</v>
      </c>
      <c r="M397">
        <v>395</v>
      </c>
      <c r="N397" t="s">
        <v>579</v>
      </c>
      <c r="O397" t="s">
        <v>266</v>
      </c>
      <c r="P397" t="s">
        <v>8</v>
      </c>
      <c r="Q397" t="s">
        <v>568</v>
      </c>
      <c r="R397" s="14">
        <v>0.35111111111111099</v>
      </c>
    </row>
    <row r="398" spans="1:18" hidden="1" x14ac:dyDescent="0.3">
      <c r="A398" t="s">
        <v>973</v>
      </c>
      <c r="B398" s="1">
        <v>46075</v>
      </c>
      <c r="C398" t="s">
        <v>1235</v>
      </c>
      <c r="D398" t="s">
        <v>55</v>
      </c>
      <c r="E398" t="s">
        <v>345</v>
      </c>
      <c r="F398" s="2" t="s">
        <v>346</v>
      </c>
      <c r="G398" t="s">
        <v>347</v>
      </c>
      <c r="H398">
        <v>1</v>
      </c>
      <c r="I398">
        <v>700</v>
      </c>
      <c r="J398">
        <v>50</v>
      </c>
      <c r="K398">
        <v>650</v>
      </c>
      <c r="L398">
        <v>410</v>
      </c>
      <c r="M398">
        <v>240</v>
      </c>
      <c r="N398" t="s">
        <v>576</v>
      </c>
      <c r="O398" t="s">
        <v>269</v>
      </c>
      <c r="P398" t="s">
        <v>18</v>
      </c>
      <c r="Q398" t="s">
        <v>585</v>
      </c>
      <c r="R398" s="14">
        <v>0.36923076923076897</v>
      </c>
    </row>
    <row r="399" spans="1:18" hidden="1" x14ac:dyDescent="0.3">
      <c r="A399" t="s">
        <v>974</v>
      </c>
      <c r="B399" s="1">
        <v>46056</v>
      </c>
      <c r="C399" t="s">
        <v>1235</v>
      </c>
      <c r="D399" t="s">
        <v>171</v>
      </c>
      <c r="E399" t="s">
        <v>345</v>
      </c>
      <c r="F399" s="2" t="s">
        <v>346</v>
      </c>
      <c r="G399" t="s">
        <v>347</v>
      </c>
      <c r="H399">
        <v>1</v>
      </c>
      <c r="I399">
        <v>700</v>
      </c>
      <c r="J399">
        <v>0</v>
      </c>
      <c r="K399">
        <v>700</v>
      </c>
      <c r="L399">
        <v>410</v>
      </c>
      <c r="M399">
        <v>290</v>
      </c>
      <c r="N399" t="s">
        <v>579</v>
      </c>
      <c r="O399" t="s">
        <v>269</v>
      </c>
      <c r="P399" t="s">
        <v>18</v>
      </c>
      <c r="Q399" t="s">
        <v>568</v>
      </c>
      <c r="R399" s="14">
        <v>0.41428571428571398</v>
      </c>
    </row>
    <row r="400" spans="1:18" hidden="1" x14ac:dyDescent="0.3">
      <c r="A400" t="s">
        <v>975</v>
      </c>
      <c r="B400" s="1">
        <v>46115</v>
      </c>
      <c r="C400" t="s">
        <v>1231</v>
      </c>
      <c r="D400" t="s">
        <v>59</v>
      </c>
      <c r="E400" t="s">
        <v>387</v>
      </c>
      <c r="F400" s="2" t="s">
        <v>388</v>
      </c>
      <c r="G400" t="s">
        <v>347</v>
      </c>
      <c r="H400">
        <v>1</v>
      </c>
      <c r="I400">
        <v>850</v>
      </c>
      <c r="J400">
        <v>0</v>
      </c>
      <c r="K400">
        <v>850</v>
      </c>
      <c r="L400">
        <v>520</v>
      </c>
      <c r="M400">
        <v>330</v>
      </c>
      <c r="N400" t="s">
        <v>579</v>
      </c>
      <c r="O400" t="s">
        <v>266</v>
      </c>
      <c r="P400" t="s">
        <v>8</v>
      </c>
      <c r="Q400" t="s">
        <v>585</v>
      </c>
      <c r="R400" s="14">
        <v>0.38823529411764701</v>
      </c>
    </row>
    <row r="401" spans="1:18" x14ac:dyDescent="0.3">
      <c r="A401" t="s">
        <v>976</v>
      </c>
      <c r="B401" s="1">
        <v>46156</v>
      </c>
      <c r="C401" t="s">
        <v>1237</v>
      </c>
      <c r="D401" t="s">
        <v>145</v>
      </c>
      <c r="E401" t="s">
        <v>360</v>
      </c>
      <c r="F401" s="2" t="s">
        <v>361</v>
      </c>
      <c r="G401" t="s">
        <v>362</v>
      </c>
      <c r="H401">
        <v>2</v>
      </c>
      <c r="I401">
        <v>1100</v>
      </c>
      <c r="J401">
        <v>20</v>
      </c>
      <c r="K401">
        <v>2180</v>
      </c>
      <c r="L401">
        <v>1360</v>
      </c>
      <c r="M401">
        <v>820</v>
      </c>
      <c r="N401" t="s">
        <v>576</v>
      </c>
      <c r="O401" t="s">
        <v>269</v>
      </c>
      <c r="P401" t="s">
        <v>13</v>
      </c>
      <c r="Q401" t="s">
        <v>585</v>
      </c>
      <c r="R401" s="14">
        <v>0.37614678899082599</v>
      </c>
    </row>
    <row r="402" spans="1:18" hidden="1" x14ac:dyDescent="0.3">
      <c r="A402" t="s">
        <v>977</v>
      </c>
      <c r="B402" s="1">
        <v>46177</v>
      </c>
      <c r="C402" t="s">
        <v>1233</v>
      </c>
      <c r="D402" t="s">
        <v>75</v>
      </c>
      <c r="E402" t="s">
        <v>382</v>
      </c>
      <c r="F402" s="2" t="s">
        <v>383</v>
      </c>
      <c r="G402" t="s">
        <v>384</v>
      </c>
      <c r="H402">
        <v>1</v>
      </c>
      <c r="I402">
        <v>1200</v>
      </c>
      <c r="J402">
        <v>0</v>
      </c>
      <c r="K402">
        <v>1200</v>
      </c>
      <c r="L402">
        <v>730</v>
      </c>
      <c r="M402">
        <v>470</v>
      </c>
      <c r="N402" t="s">
        <v>576</v>
      </c>
      <c r="O402" t="s">
        <v>266</v>
      </c>
      <c r="P402" t="s">
        <v>8</v>
      </c>
      <c r="Q402" t="s">
        <v>585</v>
      </c>
      <c r="R402" s="14">
        <v>0.391666666666667</v>
      </c>
    </row>
    <row r="403" spans="1:18" hidden="1" x14ac:dyDescent="0.3">
      <c r="A403" t="s">
        <v>978</v>
      </c>
      <c r="B403" s="1">
        <v>46078</v>
      </c>
      <c r="C403" t="s">
        <v>1235</v>
      </c>
      <c r="D403" t="s">
        <v>159</v>
      </c>
      <c r="E403" t="s">
        <v>366</v>
      </c>
      <c r="F403" s="2" t="s">
        <v>367</v>
      </c>
      <c r="G403" t="s">
        <v>352</v>
      </c>
      <c r="H403">
        <v>1</v>
      </c>
      <c r="I403">
        <v>1500</v>
      </c>
      <c r="J403">
        <v>20</v>
      </c>
      <c r="K403">
        <v>1480</v>
      </c>
      <c r="L403">
        <v>920</v>
      </c>
      <c r="M403">
        <v>560</v>
      </c>
      <c r="N403" t="s">
        <v>570</v>
      </c>
      <c r="O403" t="s">
        <v>269</v>
      </c>
      <c r="P403" t="s">
        <v>13</v>
      </c>
      <c r="Q403" t="s">
        <v>574</v>
      </c>
      <c r="R403" s="14">
        <v>0.37837837837837801</v>
      </c>
    </row>
    <row r="404" spans="1:18" hidden="1" x14ac:dyDescent="0.3">
      <c r="A404" t="s">
        <v>979</v>
      </c>
      <c r="B404" s="1">
        <v>46239</v>
      </c>
      <c r="C404" t="s">
        <v>1236</v>
      </c>
      <c r="D404" t="s">
        <v>247</v>
      </c>
      <c r="E404" t="s">
        <v>369</v>
      </c>
      <c r="F404" s="2" t="s">
        <v>370</v>
      </c>
      <c r="G404" t="s">
        <v>371</v>
      </c>
      <c r="H404">
        <v>2</v>
      </c>
      <c r="I404">
        <v>1450</v>
      </c>
      <c r="J404">
        <v>100</v>
      </c>
      <c r="K404">
        <v>2800</v>
      </c>
      <c r="L404">
        <v>1800</v>
      </c>
      <c r="M404">
        <v>1000</v>
      </c>
      <c r="N404" t="s">
        <v>579</v>
      </c>
      <c r="O404" t="s">
        <v>269</v>
      </c>
      <c r="P404" t="s">
        <v>18</v>
      </c>
      <c r="Q404" t="s">
        <v>568</v>
      </c>
      <c r="R404" s="14">
        <v>0.35714285714285698</v>
      </c>
    </row>
    <row r="405" spans="1:18" hidden="1" x14ac:dyDescent="0.3">
      <c r="A405" t="s">
        <v>980</v>
      </c>
      <c r="B405" s="1">
        <v>46130</v>
      </c>
      <c r="C405" t="s">
        <v>1231</v>
      </c>
      <c r="D405" t="s">
        <v>29</v>
      </c>
      <c r="E405" t="s">
        <v>393</v>
      </c>
      <c r="F405" s="2" t="s">
        <v>394</v>
      </c>
      <c r="G405" t="s">
        <v>371</v>
      </c>
      <c r="H405">
        <v>2</v>
      </c>
      <c r="I405">
        <v>1150</v>
      </c>
      <c r="J405">
        <v>100</v>
      </c>
      <c r="K405">
        <v>2200</v>
      </c>
      <c r="L405">
        <v>1400</v>
      </c>
      <c r="M405">
        <v>800</v>
      </c>
      <c r="N405" t="s">
        <v>573</v>
      </c>
      <c r="O405" t="s">
        <v>266</v>
      </c>
      <c r="P405" t="s">
        <v>18</v>
      </c>
      <c r="Q405" t="s">
        <v>585</v>
      </c>
      <c r="R405" s="14">
        <v>0.36363636363636398</v>
      </c>
    </row>
    <row r="406" spans="1:18" hidden="1" x14ac:dyDescent="0.3">
      <c r="A406" t="s">
        <v>981</v>
      </c>
      <c r="B406" s="1">
        <v>46162</v>
      </c>
      <c r="C406" t="s">
        <v>1237</v>
      </c>
      <c r="D406" t="s">
        <v>81</v>
      </c>
      <c r="E406" t="s">
        <v>382</v>
      </c>
      <c r="F406" s="2" t="s">
        <v>383</v>
      </c>
      <c r="G406" t="s">
        <v>384</v>
      </c>
      <c r="H406">
        <v>1</v>
      </c>
      <c r="I406">
        <v>1200</v>
      </c>
      <c r="J406">
        <v>50</v>
      </c>
      <c r="K406">
        <v>1150</v>
      </c>
      <c r="L406">
        <v>730</v>
      </c>
      <c r="M406">
        <v>420</v>
      </c>
      <c r="N406" t="s">
        <v>579</v>
      </c>
      <c r="O406" t="s">
        <v>269</v>
      </c>
      <c r="P406" t="s">
        <v>13</v>
      </c>
      <c r="Q406" t="s">
        <v>574</v>
      </c>
      <c r="R406" s="14">
        <v>0.36521739130434799</v>
      </c>
    </row>
    <row r="407" spans="1:18" x14ac:dyDescent="0.3">
      <c r="A407" t="s">
        <v>982</v>
      </c>
      <c r="B407" s="1">
        <v>46069</v>
      </c>
      <c r="C407" t="s">
        <v>1235</v>
      </c>
      <c r="D407" t="s">
        <v>231</v>
      </c>
      <c r="E407" t="s">
        <v>360</v>
      </c>
      <c r="F407" s="2" t="s">
        <v>361</v>
      </c>
      <c r="G407" t="s">
        <v>362</v>
      </c>
      <c r="H407">
        <v>1</v>
      </c>
      <c r="I407">
        <v>1100</v>
      </c>
      <c r="J407">
        <v>20</v>
      </c>
      <c r="K407">
        <v>1080</v>
      </c>
      <c r="L407">
        <v>680</v>
      </c>
      <c r="M407">
        <v>400</v>
      </c>
      <c r="N407" t="s">
        <v>579</v>
      </c>
      <c r="O407" t="s">
        <v>266</v>
      </c>
      <c r="P407" t="s">
        <v>8</v>
      </c>
      <c r="Q407" t="s">
        <v>585</v>
      </c>
      <c r="R407" s="14">
        <v>0.37037037037037002</v>
      </c>
    </row>
    <row r="408" spans="1:18" hidden="1" x14ac:dyDescent="0.3">
      <c r="A408" t="s">
        <v>983</v>
      </c>
      <c r="B408" s="1">
        <v>46232</v>
      </c>
      <c r="C408" t="s">
        <v>1232</v>
      </c>
      <c r="D408" t="s">
        <v>209</v>
      </c>
      <c r="E408" t="s">
        <v>382</v>
      </c>
      <c r="F408" s="2" t="s">
        <v>383</v>
      </c>
      <c r="G408" t="s">
        <v>384</v>
      </c>
      <c r="H408">
        <v>1</v>
      </c>
      <c r="I408">
        <v>1200</v>
      </c>
      <c r="J408">
        <v>50</v>
      </c>
      <c r="K408">
        <v>1150</v>
      </c>
      <c r="L408">
        <v>730</v>
      </c>
      <c r="M408">
        <v>420</v>
      </c>
      <c r="N408" t="s">
        <v>567</v>
      </c>
      <c r="O408" t="s">
        <v>266</v>
      </c>
      <c r="P408" t="s">
        <v>18</v>
      </c>
      <c r="Q408" t="s">
        <v>585</v>
      </c>
      <c r="R408" s="14">
        <v>0.36521739130434799</v>
      </c>
    </row>
    <row r="409" spans="1:18" hidden="1" x14ac:dyDescent="0.3">
      <c r="A409" t="s">
        <v>984</v>
      </c>
      <c r="B409" s="1">
        <v>46206</v>
      </c>
      <c r="C409" t="s">
        <v>1232</v>
      </c>
      <c r="D409" t="s">
        <v>179</v>
      </c>
      <c r="E409" t="s">
        <v>382</v>
      </c>
      <c r="F409" s="2" t="s">
        <v>383</v>
      </c>
      <c r="G409" t="s">
        <v>384</v>
      </c>
      <c r="H409">
        <v>2</v>
      </c>
      <c r="I409">
        <v>1200</v>
      </c>
      <c r="J409">
        <v>20</v>
      </c>
      <c r="K409">
        <v>2380</v>
      </c>
      <c r="L409">
        <v>1460</v>
      </c>
      <c r="M409">
        <v>920</v>
      </c>
      <c r="N409" t="s">
        <v>573</v>
      </c>
      <c r="O409" t="s">
        <v>266</v>
      </c>
      <c r="P409" t="s">
        <v>13</v>
      </c>
      <c r="Q409" t="s">
        <v>585</v>
      </c>
      <c r="R409" s="14">
        <v>0.38655462184874001</v>
      </c>
    </row>
    <row r="410" spans="1:18" hidden="1" x14ac:dyDescent="0.3">
      <c r="A410" t="s">
        <v>985</v>
      </c>
      <c r="B410" s="1">
        <v>46029</v>
      </c>
      <c r="C410" t="s">
        <v>1234</v>
      </c>
      <c r="D410" t="s">
        <v>79</v>
      </c>
      <c r="E410" t="s">
        <v>366</v>
      </c>
      <c r="F410" s="2" t="s">
        <v>367</v>
      </c>
      <c r="G410" t="s">
        <v>352</v>
      </c>
      <c r="H410">
        <v>1</v>
      </c>
      <c r="I410">
        <v>1500</v>
      </c>
      <c r="J410">
        <v>0</v>
      </c>
      <c r="K410">
        <v>1500</v>
      </c>
      <c r="L410">
        <v>920</v>
      </c>
      <c r="M410">
        <v>580</v>
      </c>
      <c r="N410" t="s">
        <v>579</v>
      </c>
      <c r="O410" t="s">
        <v>269</v>
      </c>
      <c r="P410" t="s">
        <v>8</v>
      </c>
      <c r="Q410" t="s">
        <v>574</v>
      </c>
      <c r="R410" s="14">
        <v>0.38666666666666699</v>
      </c>
    </row>
    <row r="411" spans="1:18" hidden="1" x14ac:dyDescent="0.3">
      <c r="A411" t="s">
        <v>986</v>
      </c>
      <c r="B411" s="1">
        <v>46087</v>
      </c>
      <c r="C411" t="s">
        <v>1230</v>
      </c>
      <c r="D411" t="s">
        <v>207</v>
      </c>
      <c r="E411" t="s">
        <v>341</v>
      </c>
      <c r="F411" s="2" t="s">
        <v>342</v>
      </c>
      <c r="G411" t="s">
        <v>343</v>
      </c>
      <c r="H411">
        <v>2</v>
      </c>
      <c r="I411">
        <v>750</v>
      </c>
      <c r="J411">
        <v>20</v>
      </c>
      <c r="K411">
        <v>1480</v>
      </c>
      <c r="L411">
        <v>860</v>
      </c>
      <c r="M411">
        <v>620</v>
      </c>
      <c r="N411" t="s">
        <v>567</v>
      </c>
      <c r="O411" t="s">
        <v>266</v>
      </c>
      <c r="P411" t="s">
        <v>18</v>
      </c>
      <c r="Q411" t="s">
        <v>568</v>
      </c>
      <c r="R411" s="14">
        <v>0.41891891891891903</v>
      </c>
    </row>
    <row r="412" spans="1:18" hidden="1" x14ac:dyDescent="0.3">
      <c r="A412" t="s">
        <v>987</v>
      </c>
      <c r="B412" s="1">
        <v>46075</v>
      </c>
      <c r="C412" t="s">
        <v>1235</v>
      </c>
      <c r="D412" t="s">
        <v>95</v>
      </c>
      <c r="E412" t="s">
        <v>382</v>
      </c>
      <c r="F412" s="2" t="s">
        <v>383</v>
      </c>
      <c r="G412" t="s">
        <v>384</v>
      </c>
      <c r="H412">
        <v>2</v>
      </c>
      <c r="I412">
        <v>1200</v>
      </c>
      <c r="J412">
        <v>50</v>
      </c>
      <c r="K412">
        <v>2350</v>
      </c>
      <c r="L412">
        <v>1460</v>
      </c>
      <c r="M412">
        <v>890</v>
      </c>
      <c r="N412" t="s">
        <v>567</v>
      </c>
      <c r="O412" t="s">
        <v>266</v>
      </c>
      <c r="P412" t="s">
        <v>8</v>
      </c>
      <c r="Q412" t="s">
        <v>568</v>
      </c>
      <c r="R412" s="14">
        <v>0.37872340425531897</v>
      </c>
    </row>
    <row r="413" spans="1:18" x14ac:dyDescent="0.3">
      <c r="A413" t="s">
        <v>988</v>
      </c>
      <c r="B413" s="1">
        <v>46122</v>
      </c>
      <c r="C413" t="s">
        <v>1231</v>
      </c>
      <c r="D413" t="s">
        <v>35</v>
      </c>
      <c r="E413" t="s">
        <v>419</v>
      </c>
      <c r="F413" s="2" t="s">
        <v>420</v>
      </c>
      <c r="G413" t="s">
        <v>362</v>
      </c>
      <c r="H413">
        <v>1</v>
      </c>
      <c r="I413">
        <v>1350</v>
      </c>
      <c r="J413">
        <v>0</v>
      </c>
      <c r="K413">
        <v>1350</v>
      </c>
      <c r="L413">
        <v>850</v>
      </c>
      <c r="M413">
        <v>500</v>
      </c>
      <c r="N413" t="s">
        <v>579</v>
      </c>
      <c r="O413" t="s">
        <v>269</v>
      </c>
      <c r="P413" t="s">
        <v>13</v>
      </c>
      <c r="Q413" t="s">
        <v>585</v>
      </c>
      <c r="R413" s="14">
        <v>0.37037037037037002</v>
      </c>
    </row>
    <row r="414" spans="1:18" x14ac:dyDescent="0.3">
      <c r="A414" t="s">
        <v>989</v>
      </c>
      <c r="B414" s="1">
        <v>46046</v>
      </c>
      <c r="C414" t="s">
        <v>1234</v>
      </c>
      <c r="D414" t="s">
        <v>65</v>
      </c>
      <c r="E414" t="s">
        <v>419</v>
      </c>
      <c r="F414" s="2" t="s">
        <v>420</v>
      </c>
      <c r="G414" t="s">
        <v>362</v>
      </c>
      <c r="H414">
        <v>1</v>
      </c>
      <c r="I414">
        <v>1350</v>
      </c>
      <c r="J414">
        <v>20</v>
      </c>
      <c r="K414">
        <v>1330</v>
      </c>
      <c r="L414">
        <v>850</v>
      </c>
      <c r="M414">
        <v>480</v>
      </c>
      <c r="N414" t="s">
        <v>570</v>
      </c>
      <c r="O414" t="s">
        <v>269</v>
      </c>
      <c r="P414" t="s">
        <v>8</v>
      </c>
      <c r="Q414" t="s">
        <v>574</v>
      </c>
      <c r="R414" s="14">
        <v>0.360902255639098</v>
      </c>
    </row>
    <row r="415" spans="1:18" x14ac:dyDescent="0.3">
      <c r="A415" t="s">
        <v>990</v>
      </c>
      <c r="B415" s="1">
        <v>46038</v>
      </c>
      <c r="C415" t="s">
        <v>1234</v>
      </c>
      <c r="D415" t="s">
        <v>101</v>
      </c>
      <c r="E415" t="s">
        <v>419</v>
      </c>
      <c r="F415" s="2" t="s">
        <v>420</v>
      </c>
      <c r="G415" t="s">
        <v>362</v>
      </c>
      <c r="H415">
        <v>2</v>
      </c>
      <c r="I415">
        <v>1350</v>
      </c>
      <c r="J415">
        <v>20</v>
      </c>
      <c r="K415">
        <v>2680</v>
      </c>
      <c r="L415">
        <v>1700</v>
      </c>
      <c r="M415">
        <v>980</v>
      </c>
      <c r="N415" t="s">
        <v>573</v>
      </c>
      <c r="O415" t="s">
        <v>266</v>
      </c>
      <c r="P415" t="s">
        <v>8</v>
      </c>
      <c r="Q415" t="s">
        <v>585</v>
      </c>
      <c r="R415" s="14">
        <v>0.365671641791045</v>
      </c>
    </row>
    <row r="416" spans="1:18" x14ac:dyDescent="0.3">
      <c r="A416" t="s">
        <v>991</v>
      </c>
      <c r="B416" s="1">
        <v>46244</v>
      </c>
      <c r="C416" t="s">
        <v>1236</v>
      </c>
      <c r="D416" t="s">
        <v>217</v>
      </c>
      <c r="E416" t="s">
        <v>419</v>
      </c>
      <c r="F416" s="2" t="s">
        <v>420</v>
      </c>
      <c r="G416" t="s">
        <v>362</v>
      </c>
      <c r="H416">
        <v>1</v>
      </c>
      <c r="I416">
        <v>1350</v>
      </c>
      <c r="J416">
        <v>50</v>
      </c>
      <c r="K416">
        <v>1300</v>
      </c>
      <c r="L416">
        <v>850</v>
      </c>
      <c r="M416">
        <v>450</v>
      </c>
      <c r="N416" t="s">
        <v>579</v>
      </c>
      <c r="O416" t="s">
        <v>269</v>
      </c>
      <c r="P416" t="s">
        <v>8</v>
      </c>
      <c r="Q416" t="s">
        <v>568</v>
      </c>
      <c r="R416" s="14">
        <v>0.34615384615384598</v>
      </c>
    </row>
    <row r="417" spans="1:18" hidden="1" x14ac:dyDescent="0.3">
      <c r="A417" t="s">
        <v>992</v>
      </c>
      <c r="B417" s="1">
        <v>46029</v>
      </c>
      <c r="C417" t="s">
        <v>1234</v>
      </c>
      <c r="D417" t="s">
        <v>239</v>
      </c>
      <c r="E417" t="s">
        <v>341</v>
      </c>
      <c r="F417" s="2" t="s">
        <v>342</v>
      </c>
      <c r="G417" t="s">
        <v>343</v>
      </c>
      <c r="H417">
        <v>1</v>
      </c>
      <c r="I417">
        <v>750</v>
      </c>
      <c r="J417">
        <v>50</v>
      </c>
      <c r="K417">
        <v>700</v>
      </c>
      <c r="L417">
        <v>430</v>
      </c>
      <c r="M417">
        <v>270</v>
      </c>
      <c r="N417" t="s">
        <v>573</v>
      </c>
      <c r="O417" t="s">
        <v>266</v>
      </c>
      <c r="P417" t="s">
        <v>18</v>
      </c>
      <c r="Q417" t="s">
        <v>574</v>
      </c>
      <c r="R417" s="14">
        <v>0.38571428571428601</v>
      </c>
    </row>
    <row r="418" spans="1:18" hidden="1" x14ac:dyDescent="0.3">
      <c r="A418" t="s">
        <v>993</v>
      </c>
      <c r="B418" s="1">
        <v>46223</v>
      </c>
      <c r="C418" t="s">
        <v>1232</v>
      </c>
      <c r="D418" t="s">
        <v>71</v>
      </c>
      <c r="E418" t="s">
        <v>366</v>
      </c>
      <c r="F418" s="2" t="s">
        <v>367</v>
      </c>
      <c r="G418" t="s">
        <v>352</v>
      </c>
      <c r="H418">
        <v>4</v>
      </c>
      <c r="I418">
        <v>1500</v>
      </c>
      <c r="J418">
        <v>75</v>
      </c>
      <c r="K418">
        <v>5925</v>
      </c>
      <c r="L418">
        <v>3680</v>
      </c>
      <c r="M418">
        <v>2245</v>
      </c>
      <c r="N418" t="s">
        <v>570</v>
      </c>
      <c r="O418" t="s">
        <v>266</v>
      </c>
      <c r="P418" t="s">
        <v>13</v>
      </c>
      <c r="Q418" t="s">
        <v>574</v>
      </c>
      <c r="R418" s="14">
        <v>0.378902953586498</v>
      </c>
    </row>
    <row r="419" spans="1:18" hidden="1" x14ac:dyDescent="0.3">
      <c r="A419" t="s">
        <v>994</v>
      </c>
      <c r="B419" s="1">
        <v>46154</v>
      </c>
      <c r="C419" t="s">
        <v>1237</v>
      </c>
      <c r="D419" t="s">
        <v>215</v>
      </c>
      <c r="E419" t="s">
        <v>400</v>
      </c>
      <c r="F419" s="2" t="s">
        <v>401</v>
      </c>
      <c r="G419" t="s">
        <v>384</v>
      </c>
      <c r="H419">
        <v>1</v>
      </c>
      <c r="I419">
        <v>950</v>
      </c>
      <c r="J419">
        <v>20</v>
      </c>
      <c r="K419">
        <v>930</v>
      </c>
      <c r="L419">
        <v>570</v>
      </c>
      <c r="M419">
        <v>360</v>
      </c>
      <c r="N419" t="s">
        <v>570</v>
      </c>
      <c r="O419" t="s">
        <v>269</v>
      </c>
      <c r="P419" t="s">
        <v>13</v>
      </c>
      <c r="Q419" t="s">
        <v>585</v>
      </c>
      <c r="R419" s="14">
        <v>0.38709677419354799</v>
      </c>
    </row>
    <row r="420" spans="1:18" hidden="1" x14ac:dyDescent="0.3">
      <c r="A420" t="s">
        <v>995</v>
      </c>
      <c r="B420" s="1">
        <v>46237</v>
      </c>
      <c r="C420" t="s">
        <v>1236</v>
      </c>
      <c r="D420" t="s">
        <v>95</v>
      </c>
      <c r="E420" t="s">
        <v>345</v>
      </c>
      <c r="F420" s="2" t="s">
        <v>346</v>
      </c>
      <c r="G420" t="s">
        <v>347</v>
      </c>
      <c r="H420">
        <v>1</v>
      </c>
      <c r="I420">
        <v>700</v>
      </c>
      <c r="J420">
        <v>50</v>
      </c>
      <c r="K420">
        <v>650</v>
      </c>
      <c r="L420">
        <v>410</v>
      </c>
      <c r="M420">
        <v>240</v>
      </c>
      <c r="N420" t="s">
        <v>579</v>
      </c>
      <c r="O420" t="s">
        <v>266</v>
      </c>
      <c r="P420" t="s">
        <v>8</v>
      </c>
      <c r="Q420" t="s">
        <v>571</v>
      </c>
      <c r="R420" s="14">
        <v>0.36923076923076897</v>
      </c>
    </row>
    <row r="421" spans="1:18" x14ac:dyDescent="0.3">
      <c r="A421" t="s">
        <v>996</v>
      </c>
      <c r="B421" s="1">
        <v>46200</v>
      </c>
      <c r="C421" t="s">
        <v>1233</v>
      </c>
      <c r="D421" t="s">
        <v>157</v>
      </c>
      <c r="E421" t="s">
        <v>360</v>
      </c>
      <c r="F421" s="2" t="s">
        <v>361</v>
      </c>
      <c r="G421" t="s">
        <v>362</v>
      </c>
      <c r="H421">
        <v>2</v>
      </c>
      <c r="I421">
        <v>1100</v>
      </c>
      <c r="J421">
        <v>100</v>
      </c>
      <c r="K421">
        <v>2100</v>
      </c>
      <c r="L421">
        <v>1360</v>
      </c>
      <c r="M421">
        <v>740</v>
      </c>
      <c r="N421" t="s">
        <v>576</v>
      </c>
      <c r="O421" t="s">
        <v>266</v>
      </c>
      <c r="P421" t="s">
        <v>13</v>
      </c>
      <c r="Q421" t="s">
        <v>568</v>
      </c>
      <c r="R421" s="14">
        <v>0.35238095238095202</v>
      </c>
    </row>
    <row r="422" spans="1:18" hidden="1" x14ac:dyDescent="0.3">
      <c r="A422" t="s">
        <v>997</v>
      </c>
      <c r="B422" s="1">
        <v>46048</v>
      </c>
      <c r="C422" t="s">
        <v>1234</v>
      </c>
      <c r="D422" t="s">
        <v>57</v>
      </c>
      <c r="E422" t="s">
        <v>369</v>
      </c>
      <c r="F422" s="2" t="s">
        <v>370</v>
      </c>
      <c r="G422" t="s">
        <v>371</v>
      </c>
      <c r="H422">
        <v>1</v>
      </c>
      <c r="I422">
        <v>1450</v>
      </c>
      <c r="J422">
        <v>0</v>
      </c>
      <c r="K422">
        <v>1450</v>
      </c>
      <c r="L422">
        <v>900</v>
      </c>
      <c r="M422">
        <v>550</v>
      </c>
      <c r="N422" t="s">
        <v>579</v>
      </c>
      <c r="O422" t="s">
        <v>269</v>
      </c>
      <c r="P422" t="s">
        <v>13</v>
      </c>
      <c r="Q422" t="s">
        <v>568</v>
      </c>
      <c r="R422" s="14">
        <v>0.37931034482758602</v>
      </c>
    </row>
    <row r="423" spans="1:18" hidden="1" x14ac:dyDescent="0.3">
      <c r="A423" t="s">
        <v>998</v>
      </c>
      <c r="B423" s="1">
        <v>46261</v>
      </c>
      <c r="C423" t="s">
        <v>1236</v>
      </c>
      <c r="D423" t="s">
        <v>197</v>
      </c>
      <c r="E423" t="s">
        <v>366</v>
      </c>
      <c r="F423" s="2" t="s">
        <v>367</v>
      </c>
      <c r="G423" t="s">
        <v>352</v>
      </c>
      <c r="H423">
        <v>2</v>
      </c>
      <c r="I423">
        <v>1500</v>
      </c>
      <c r="J423">
        <v>50</v>
      </c>
      <c r="K423">
        <v>2950</v>
      </c>
      <c r="L423">
        <v>1840</v>
      </c>
      <c r="M423">
        <v>1110</v>
      </c>
      <c r="N423" t="s">
        <v>576</v>
      </c>
      <c r="O423" t="s">
        <v>269</v>
      </c>
      <c r="P423" t="s">
        <v>18</v>
      </c>
      <c r="Q423" t="s">
        <v>585</v>
      </c>
      <c r="R423" s="14">
        <v>0.37627118644067797</v>
      </c>
    </row>
    <row r="424" spans="1:18" hidden="1" x14ac:dyDescent="0.3">
      <c r="A424" t="s">
        <v>999</v>
      </c>
      <c r="B424" s="1">
        <v>46210</v>
      </c>
      <c r="C424" t="s">
        <v>1232</v>
      </c>
      <c r="D424" t="s">
        <v>121</v>
      </c>
      <c r="E424" t="s">
        <v>374</v>
      </c>
      <c r="F424" s="2" t="s">
        <v>375</v>
      </c>
      <c r="G424" t="s">
        <v>376</v>
      </c>
      <c r="H424">
        <v>3</v>
      </c>
      <c r="I424">
        <v>800</v>
      </c>
      <c r="J424">
        <v>0</v>
      </c>
      <c r="K424">
        <v>2400</v>
      </c>
      <c r="L424">
        <v>1410</v>
      </c>
      <c r="M424">
        <v>990</v>
      </c>
      <c r="N424" t="s">
        <v>573</v>
      </c>
      <c r="O424" t="s">
        <v>266</v>
      </c>
      <c r="P424" t="s">
        <v>8</v>
      </c>
      <c r="Q424" t="s">
        <v>574</v>
      </c>
      <c r="R424" s="14">
        <v>0.41249999999999998</v>
      </c>
    </row>
    <row r="425" spans="1:18" hidden="1" x14ac:dyDescent="0.3">
      <c r="A425" t="s">
        <v>1000</v>
      </c>
      <c r="B425" s="1">
        <v>46225</v>
      </c>
      <c r="C425" t="s">
        <v>1232</v>
      </c>
      <c r="D425" t="s">
        <v>247</v>
      </c>
      <c r="E425" t="s">
        <v>345</v>
      </c>
      <c r="F425" s="2" t="s">
        <v>346</v>
      </c>
      <c r="G425" t="s">
        <v>347</v>
      </c>
      <c r="H425">
        <v>1</v>
      </c>
      <c r="I425">
        <v>700</v>
      </c>
      <c r="J425">
        <v>50</v>
      </c>
      <c r="K425">
        <v>650</v>
      </c>
      <c r="L425">
        <v>410</v>
      </c>
      <c r="M425">
        <v>240</v>
      </c>
      <c r="N425" t="s">
        <v>573</v>
      </c>
      <c r="O425" t="s">
        <v>266</v>
      </c>
      <c r="P425" t="s">
        <v>8</v>
      </c>
      <c r="Q425" t="s">
        <v>574</v>
      </c>
      <c r="R425" s="14">
        <v>0.36923076923076897</v>
      </c>
    </row>
    <row r="426" spans="1:18" hidden="1" x14ac:dyDescent="0.3">
      <c r="A426" t="s">
        <v>1001</v>
      </c>
      <c r="B426" s="1">
        <v>46068</v>
      </c>
      <c r="C426" t="s">
        <v>1235</v>
      </c>
      <c r="D426" t="s">
        <v>145</v>
      </c>
      <c r="E426" t="s">
        <v>374</v>
      </c>
      <c r="F426" s="2" t="s">
        <v>375</v>
      </c>
      <c r="G426" t="s">
        <v>376</v>
      </c>
      <c r="H426">
        <v>1</v>
      </c>
      <c r="I426">
        <v>800</v>
      </c>
      <c r="J426">
        <v>100</v>
      </c>
      <c r="K426">
        <v>700</v>
      </c>
      <c r="L426">
        <v>470</v>
      </c>
      <c r="M426">
        <v>230</v>
      </c>
      <c r="N426" t="s">
        <v>579</v>
      </c>
      <c r="O426" t="s">
        <v>266</v>
      </c>
      <c r="P426" t="s">
        <v>8</v>
      </c>
      <c r="Q426" t="s">
        <v>568</v>
      </c>
      <c r="R426" s="14">
        <v>0.32857142857142901</v>
      </c>
    </row>
    <row r="427" spans="1:18" hidden="1" x14ac:dyDescent="0.3">
      <c r="A427" t="s">
        <v>1002</v>
      </c>
      <c r="B427" s="1">
        <v>46115</v>
      </c>
      <c r="C427" t="s">
        <v>1231</v>
      </c>
      <c r="D427" t="s">
        <v>23</v>
      </c>
      <c r="E427" t="s">
        <v>374</v>
      </c>
      <c r="F427" s="2" t="s">
        <v>375</v>
      </c>
      <c r="G427" t="s">
        <v>376</v>
      </c>
      <c r="H427">
        <v>1</v>
      </c>
      <c r="I427">
        <v>800</v>
      </c>
      <c r="J427">
        <v>0</v>
      </c>
      <c r="K427">
        <v>800</v>
      </c>
      <c r="L427">
        <v>470</v>
      </c>
      <c r="M427">
        <v>330</v>
      </c>
      <c r="N427" t="s">
        <v>576</v>
      </c>
      <c r="O427" t="s">
        <v>269</v>
      </c>
      <c r="P427" t="s">
        <v>18</v>
      </c>
      <c r="Q427" t="s">
        <v>574</v>
      </c>
      <c r="R427" s="14">
        <v>0.41249999999999998</v>
      </c>
    </row>
    <row r="428" spans="1:18" hidden="1" x14ac:dyDescent="0.3">
      <c r="A428" t="s">
        <v>1003</v>
      </c>
      <c r="B428" s="1">
        <v>46033</v>
      </c>
      <c r="C428" t="s">
        <v>1234</v>
      </c>
      <c r="D428" t="s">
        <v>197</v>
      </c>
      <c r="E428" t="s">
        <v>387</v>
      </c>
      <c r="F428" s="2" t="s">
        <v>388</v>
      </c>
      <c r="G428" t="s">
        <v>347</v>
      </c>
      <c r="H428">
        <v>4</v>
      </c>
      <c r="I428">
        <v>850</v>
      </c>
      <c r="J428">
        <v>50</v>
      </c>
      <c r="K428">
        <v>3350</v>
      </c>
      <c r="L428">
        <v>2080</v>
      </c>
      <c r="M428">
        <v>1270</v>
      </c>
      <c r="N428" t="s">
        <v>576</v>
      </c>
      <c r="O428" t="s">
        <v>266</v>
      </c>
      <c r="P428" t="s">
        <v>8</v>
      </c>
      <c r="Q428" t="s">
        <v>568</v>
      </c>
      <c r="R428" s="14">
        <v>0.37910447761193999</v>
      </c>
    </row>
    <row r="429" spans="1:18" hidden="1" x14ac:dyDescent="0.3">
      <c r="A429" t="s">
        <v>1004</v>
      </c>
      <c r="B429" s="1">
        <v>46086</v>
      </c>
      <c r="C429" t="s">
        <v>1230</v>
      </c>
      <c r="D429" t="s">
        <v>125</v>
      </c>
      <c r="E429" t="s">
        <v>355</v>
      </c>
      <c r="F429" s="2" t="s">
        <v>356</v>
      </c>
      <c r="G429" t="s">
        <v>343</v>
      </c>
      <c r="H429">
        <v>4</v>
      </c>
      <c r="I429">
        <v>550</v>
      </c>
      <c r="J429">
        <v>100</v>
      </c>
      <c r="K429">
        <v>2100</v>
      </c>
      <c r="L429">
        <v>1200</v>
      </c>
      <c r="M429">
        <v>900</v>
      </c>
      <c r="N429" t="s">
        <v>579</v>
      </c>
      <c r="O429" t="s">
        <v>266</v>
      </c>
      <c r="P429" t="s">
        <v>13</v>
      </c>
      <c r="Q429" t="s">
        <v>568</v>
      </c>
      <c r="R429" s="14">
        <v>0.42857142857142899</v>
      </c>
    </row>
    <row r="430" spans="1:18" hidden="1" x14ac:dyDescent="0.3">
      <c r="A430" t="s">
        <v>1005</v>
      </c>
      <c r="B430" s="1">
        <v>46077</v>
      </c>
      <c r="C430" t="s">
        <v>1235</v>
      </c>
      <c r="D430" t="s">
        <v>211</v>
      </c>
      <c r="E430" t="s">
        <v>341</v>
      </c>
      <c r="F430" s="2" t="s">
        <v>342</v>
      </c>
      <c r="G430" t="s">
        <v>343</v>
      </c>
      <c r="H430">
        <v>1</v>
      </c>
      <c r="I430">
        <v>750</v>
      </c>
      <c r="J430">
        <v>20</v>
      </c>
      <c r="K430">
        <v>730</v>
      </c>
      <c r="L430">
        <v>430</v>
      </c>
      <c r="M430">
        <v>300</v>
      </c>
      <c r="N430" t="s">
        <v>579</v>
      </c>
      <c r="O430" t="s">
        <v>266</v>
      </c>
      <c r="P430" t="s">
        <v>8</v>
      </c>
      <c r="Q430" t="s">
        <v>568</v>
      </c>
      <c r="R430" s="14">
        <v>0.41095890410958902</v>
      </c>
    </row>
    <row r="431" spans="1:18" hidden="1" x14ac:dyDescent="0.3">
      <c r="A431" t="s">
        <v>1006</v>
      </c>
      <c r="B431" s="1">
        <v>46039</v>
      </c>
      <c r="C431" t="s">
        <v>1234</v>
      </c>
      <c r="D431" t="s">
        <v>221</v>
      </c>
      <c r="E431" t="s">
        <v>415</v>
      </c>
      <c r="F431" s="2" t="s">
        <v>416</v>
      </c>
      <c r="G431" t="s">
        <v>347</v>
      </c>
      <c r="H431">
        <v>2</v>
      </c>
      <c r="I431">
        <v>1250</v>
      </c>
      <c r="J431">
        <v>20</v>
      </c>
      <c r="K431">
        <v>2480</v>
      </c>
      <c r="L431">
        <v>1520</v>
      </c>
      <c r="M431">
        <v>960</v>
      </c>
      <c r="N431" t="s">
        <v>570</v>
      </c>
      <c r="O431" t="s">
        <v>269</v>
      </c>
      <c r="P431" t="s">
        <v>8</v>
      </c>
      <c r="Q431" t="s">
        <v>571</v>
      </c>
      <c r="R431" s="14">
        <v>0.38709677419354799</v>
      </c>
    </row>
    <row r="432" spans="1:18" hidden="1" x14ac:dyDescent="0.3">
      <c r="A432" t="s">
        <v>1007</v>
      </c>
      <c r="B432" s="1">
        <v>46118</v>
      </c>
      <c r="C432" t="s">
        <v>1231</v>
      </c>
      <c r="D432" t="s">
        <v>207</v>
      </c>
      <c r="E432" t="s">
        <v>400</v>
      </c>
      <c r="F432" s="2" t="s">
        <v>401</v>
      </c>
      <c r="G432" t="s">
        <v>384</v>
      </c>
      <c r="H432">
        <v>1</v>
      </c>
      <c r="I432">
        <v>950</v>
      </c>
      <c r="J432">
        <v>20</v>
      </c>
      <c r="K432">
        <v>930</v>
      </c>
      <c r="L432">
        <v>570</v>
      </c>
      <c r="M432">
        <v>360</v>
      </c>
      <c r="N432" t="s">
        <v>573</v>
      </c>
      <c r="O432" t="s">
        <v>269</v>
      </c>
      <c r="P432" t="s">
        <v>18</v>
      </c>
      <c r="Q432" t="s">
        <v>585</v>
      </c>
      <c r="R432" s="14">
        <v>0.38709677419354799</v>
      </c>
    </row>
    <row r="433" spans="1:18" hidden="1" x14ac:dyDescent="0.3">
      <c r="A433" t="s">
        <v>1008</v>
      </c>
      <c r="B433" s="1">
        <v>46108</v>
      </c>
      <c r="C433" t="s">
        <v>1230</v>
      </c>
      <c r="D433" t="s">
        <v>95</v>
      </c>
      <c r="E433" t="s">
        <v>355</v>
      </c>
      <c r="F433" s="2" t="s">
        <v>356</v>
      </c>
      <c r="G433" t="s">
        <v>343</v>
      </c>
      <c r="H433">
        <v>2</v>
      </c>
      <c r="I433">
        <v>550</v>
      </c>
      <c r="J433">
        <v>50</v>
      </c>
      <c r="K433">
        <v>1050</v>
      </c>
      <c r="L433">
        <v>600</v>
      </c>
      <c r="M433">
        <v>450</v>
      </c>
      <c r="N433" t="s">
        <v>573</v>
      </c>
      <c r="O433" t="s">
        <v>269</v>
      </c>
      <c r="P433" t="s">
        <v>8</v>
      </c>
      <c r="Q433" t="s">
        <v>585</v>
      </c>
      <c r="R433" s="14">
        <v>0.42857142857142899</v>
      </c>
    </row>
    <row r="434" spans="1:18" hidden="1" x14ac:dyDescent="0.3">
      <c r="A434" t="s">
        <v>1009</v>
      </c>
      <c r="B434" s="1">
        <v>46193</v>
      </c>
      <c r="C434" t="s">
        <v>1233</v>
      </c>
      <c r="D434" t="s">
        <v>177</v>
      </c>
      <c r="E434" t="s">
        <v>350</v>
      </c>
      <c r="F434" s="2" t="s">
        <v>351</v>
      </c>
      <c r="G434" t="s">
        <v>352</v>
      </c>
      <c r="H434">
        <v>3</v>
      </c>
      <c r="I434">
        <v>900</v>
      </c>
      <c r="J434">
        <v>0</v>
      </c>
      <c r="K434">
        <v>2700</v>
      </c>
      <c r="L434">
        <v>1620</v>
      </c>
      <c r="M434">
        <v>1080</v>
      </c>
      <c r="N434" t="s">
        <v>579</v>
      </c>
      <c r="O434" t="s">
        <v>266</v>
      </c>
      <c r="P434" t="s">
        <v>8</v>
      </c>
      <c r="Q434" t="s">
        <v>574</v>
      </c>
      <c r="R434" s="14">
        <v>0.4</v>
      </c>
    </row>
    <row r="435" spans="1:18" hidden="1" x14ac:dyDescent="0.3">
      <c r="A435" t="s">
        <v>1010</v>
      </c>
      <c r="B435" s="1">
        <v>46115</v>
      </c>
      <c r="C435" t="s">
        <v>1231</v>
      </c>
      <c r="D435" t="s">
        <v>141</v>
      </c>
      <c r="E435" t="s">
        <v>393</v>
      </c>
      <c r="F435" s="2" t="s">
        <v>394</v>
      </c>
      <c r="G435" t="s">
        <v>371</v>
      </c>
      <c r="H435">
        <v>1</v>
      </c>
      <c r="I435">
        <v>1150</v>
      </c>
      <c r="J435">
        <v>0</v>
      </c>
      <c r="K435">
        <v>1150</v>
      </c>
      <c r="L435">
        <v>700</v>
      </c>
      <c r="M435">
        <v>450</v>
      </c>
      <c r="N435" t="s">
        <v>576</v>
      </c>
      <c r="O435" t="s">
        <v>269</v>
      </c>
      <c r="P435" t="s">
        <v>13</v>
      </c>
      <c r="Q435" t="s">
        <v>568</v>
      </c>
      <c r="R435" s="14">
        <v>0.39130434782608697</v>
      </c>
    </row>
    <row r="436" spans="1:18" hidden="1" x14ac:dyDescent="0.3">
      <c r="A436" t="s">
        <v>1011</v>
      </c>
      <c r="B436" s="1">
        <v>46056</v>
      </c>
      <c r="C436" t="s">
        <v>1235</v>
      </c>
      <c r="D436" t="s">
        <v>237</v>
      </c>
      <c r="E436" t="s">
        <v>382</v>
      </c>
      <c r="F436" s="2" t="s">
        <v>383</v>
      </c>
      <c r="G436" t="s">
        <v>384</v>
      </c>
      <c r="H436">
        <v>1</v>
      </c>
      <c r="I436">
        <v>1200</v>
      </c>
      <c r="J436">
        <v>100</v>
      </c>
      <c r="K436">
        <v>1100</v>
      </c>
      <c r="L436">
        <v>730</v>
      </c>
      <c r="M436">
        <v>370</v>
      </c>
      <c r="N436" t="s">
        <v>573</v>
      </c>
      <c r="O436" t="s">
        <v>266</v>
      </c>
      <c r="P436" t="s">
        <v>13</v>
      </c>
      <c r="Q436" t="s">
        <v>585</v>
      </c>
      <c r="R436" s="14">
        <v>0.33636363636363598</v>
      </c>
    </row>
    <row r="437" spans="1:18" hidden="1" x14ac:dyDescent="0.3">
      <c r="A437" t="s">
        <v>1012</v>
      </c>
      <c r="B437" s="1">
        <v>46116</v>
      </c>
      <c r="C437" t="s">
        <v>1231</v>
      </c>
      <c r="D437" t="s">
        <v>77</v>
      </c>
      <c r="E437" t="s">
        <v>387</v>
      </c>
      <c r="F437" s="2" t="s">
        <v>388</v>
      </c>
      <c r="G437" t="s">
        <v>347</v>
      </c>
      <c r="H437">
        <v>2</v>
      </c>
      <c r="I437">
        <v>850</v>
      </c>
      <c r="J437">
        <v>0</v>
      </c>
      <c r="K437">
        <v>1700</v>
      </c>
      <c r="L437">
        <v>1040</v>
      </c>
      <c r="M437">
        <v>660</v>
      </c>
      <c r="N437" t="s">
        <v>570</v>
      </c>
      <c r="O437" t="s">
        <v>269</v>
      </c>
      <c r="P437" t="s">
        <v>18</v>
      </c>
      <c r="Q437" t="s">
        <v>574</v>
      </c>
      <c r="R437" s="14">
        <v>0.38823529411764701</v>
      </c>
    </row>
    <row r="438" spans="1:18" hidden="1" x14ac:dyDescent="0.3">
      <c r="A438" t="s">
        <v>1013</v>
      </c>
      <c r="B438" s="1">
        <v>46115</v>
      </c>
      <c r="C438" t="s">
        <v>1231</v>
      </c>
      <c r="D438" t="s">
        <v>175</v>
      </c>
      <c r="E438" t="s">
        <v>396</v>
      </c>
      <c r="F438" s="2" t="s">
        <v>397</v>
      </c>
      <c r="G438" t="s">
        <v>376</v>
      </c>
      <c r="H438">
        <v>2</v>
      </c>
      <c r="I438">
        <v>600</v>
      </c>
      <c r="J438">
        <v>100</v>
      </c>
      <c r="K438">
        <v>1100</v>
      </c>
      <c r="L438">
        <v>700</v>
      </c>
      <c r="M438">
        <v>400</v>
      </c>
      <c r="N438" t="s">
        <v>567</v>
      </c>
      <c r="O438" t="s">
        <v>269</v>
      </c>
      <c r="P438" t="s">
        <v>8</v>
      </c>
      <c r="Q438" t="s">
        <v>574</v>
      </c>
      <c r="R438" s="14">
        <v>0.36363636363636398</v>
      </c>
    </row>
    <row r="439" spans="1:18" hidden="1" x14ac:dyDescent="0.3">
      <c r="A439" t="s">
        <v>1014</v>
      </c>
      <c r="B439" s="1">
        <v>46170</v>
      </c>
      <c r="C439" t="s">
        <v>1237</v>
      </c>
      <c r="D439" t="s">
        <v>239</v>
      </c>
      <c r="E439" t="s">
        <v>345</v>
      </c>
      <c r="F439" s="2" t="s">
        <v>346</v>
      </c>
      <c r="G439" t="s">
        <v>347</v>
      </c>
      <c r="H439">
        <v>3</v>
      </c>
      <c r="I439">
        <v>700</v>
      </c>
      <c r="J439">
        <v>75</v>
      </c>
      <c r="K439">
        <v>2025</v>
      </c>
      <c r="L439">
        <v>1230</v>
      </c>
      <c r="M439">
        <v>795</v>
      </c>
      <c r="N439" t="s">
        <v>579</v>
      </c>
      <c r="O439" t="s">
        <v>269</v>
      </c>
      <c r="P439" t="s">
        <v>18</v>
      </c>
      <c r="Q439" t="s">
        <v>585</v>
      </c>
      <c r="R439" s="14">
        <v>0.39259259259259299</v>
      </c>
    </row>
    <row r="440" spans="1:18" hidden="1" x14ac:dyDescent="0.3">
      <c r="A440" t="s">
        <v>1015</v>
      </c>
      <c r="B440" s="1">
        <v>46120</v>
      </c>
      <c r="C440" t="s">
        <v>1231</v>
      </c>
      <c r="D440" t="s">
        <v>247</v>
      </c>
      <c r="E440" t="s">
        <v>341</v>
      </c>
      <c r="F440" s="2" t="s">
        <v>342</v>
      </c>
      <c r="G440" t="s">
        <v>343</v>
      </c>
      <c r="H440">
        <v>1</v>
      </c>
      <c r="I440">
        <v>750</v>
      </c>
      <c r="J440">
        <v>0</v>
      </c>
      <c r="K440">
        <v>750</v>
      </c>
      <c r="L440">
        <v>430</v>
      </c>
      <c r="M440">
        <v>320</v>
      </c>
      <c r="N440" t="s">
        <v>567</v>
      </c>
      <c r="O440" t="s">
        <v>269</v>
      </c>
      <c r="P440" t="s">
        <v>13</v>
      </c>
      <c r="Q440" t="s">
        <v>568</v>
      </c>
      <c r="R440" s="14">
        <v>0.42666666666666703</v>
      </c>
    </row>
    <row r="441" spans="1:18" hidden="1" x14ac:dyDescent="0.3">
      <c r="A441" t="s">
        <v>1016</v>
      </c>
      <c r="B441" s="1">
        <v>46098</v>
      </c>
      <c r="C441" t="s">
        <v>1230</v>
      </c>
      <c r="D441" t="s">
        <v>59</v>
      </c>
      <c r="E441" t="s">
        <v>393</v>
      </c>
      <c r="F441" s="2" t="s">
        <v>394</v>
      </c>
      <c r="G441" t="s">
        <v>371</v>
      </c>
      <c r="H441">
        <v>2</v>
      </c>
      <c r="I441">
        <v>1150</v>
      </c>
      <c r="J441">
        <v>20</v>
      </c>
      <c r="K441">
        <v>2280</v>
      </c>
      <c r="L441">
        <v>1400</v>
      </c>
      <c r="M441">
        <v>880</v>
      </c>
      <c r="N441" t="s">
        <v>570</v>
      </c>
      <c r="O441" t="s">
        <v>269</v>
      </c>
      <c r="P441" t="s">
        <v>13</v>
      </c>
      <c r="Q441" t="s">
        <v>568</v>
      </c>
      <c r="R441" s="14">
        <v>0.38596491228070201</v>
      </c>
    </row>
    <row r="442" spans="1:18" hidden="1" x14ac:dyDescent="0.3">
      <c r="A442" t="s">
        <v>1017</v>
      </c>
      <c r="B442" s="1">
        <v>46155</v>
      </c>
      <c r="C442" t="s">
        <v>1237</v>
      </c>
      <c r="D442" t="s">
        <v>49</v>
      </c>
      <c r="E442" t="s">
        <v>374</v>
      </c>
      <c r="F442" s="2" t="s">
        <v>375</v>
      </c>
      <c r="G442" t="s">
        <v>376</v>
      </c>
      <c r="H442">
        <v>3</v>
      </c>
      <c r="I442">
        <v>800</v>
      </c>
      <c r="J442">
        <v>75</v>
      </c>
      <c r="K442">
        <v>2325</v>
      </c>
      <c r="L442">
        <v>1410</v>
      </c>
      <c r="M442">
        <v>915</v>
      </c>
      <c r="N442" t="s">
        <v>576</v>
      </c>
      <c r="O442" t="s">
        <v>269</v>
      </c>
      <c r="P442" t="s">
        <v>8</v>
      </c>
      <c r="Q442" t="s">
        <v>585</v>
      </c>
      <c r="R442" s="14">
        <v>0.39354838709677398</v>
      </c>
    </row>
    <row r="443" spans="1:18" hidden="1" x14ac:dyDescent="0.3">
      <c r="A443" t="s">
        <v>1018</v>
      </c>
      <c r="B443" s="1">
        <v>46063</v>
      </c>
      <c r="C443" t="s">
        <v>1235</v>
      </c>
      <c r="D443" t="s">
        <v>231</v>
      </c>
      <c r="E443" t="s">
        <v>345</v>
      </c>
      <c r="F443" s="2" t="s">
        <v>346</v>
      </c>
      <c r="G443" t="s">
        <v>347</v>
      </c>
      <c r="H443">
        <v>1</v>
      </c>
      <c r="I443">
        <v>700</v>
      </c>
      <c r="J443">
        <v>20</v>
      </c>
      <c r="K443">
        <v>680</v>
      </c>
      <c r="L443">
        <v>410</v>
      </c>
      <c r="M443">
        <v>270</v>
      </c>
      <c r="N443" t="s">
        <v>570</v>
      </c>
      <c r="O443" t="s">
        <v>266</v>
      </c>
      <c r="P443" t="s">
        <v>18</v>
      </c>
      <c r="Q443" t="s">
        <v>568</v>
      </c>
      <c r="R443" s="14">
        <v>0.39705882352941202</v>
      </c>
    </row>
    <row r="444" spans="1:18" hidden="1" x14ac:dyDescent="0.3">
      <c r="A444" t="s">
        <v>1019</v>
      </c>
      <c r="B444" s="1">
        <v>46037</v>
      </c>
      <c r="C444" t="s">
        <v>1234</v>
      </c>
      <c r="D444" t="s">
        <v>205</v>
      </c>
      <c r="E444" t="s">
        <v>396</v>
      </c>
      <c r="F444" s="2" t="s">
        <v>397</v>
      </c>
      <c r="G444" t="s">
        <v>376</v>
      </c>
      <c r="H444">
        <v>1</v>
      </c>
      <c r="I444">
        <v>600</v>
      </c>
      <c r="J444">
        <v>0</v>
      </c>
      <c r="K444">
        <v>600</v>
      </c>
      <c r="L444">
        <v>350</v>
      </c>
      <c r="M444">
        <v>250</v>
      </c>
      <c r="N444" t="s">
        <v>567</v>
      </c>
      <c r="O444" t="s">
        <v>269</v>
      </c>
      <c r="P444" t="s">
        <v>18</v>
      </c>
      <c r="Q444" t="s">
        <v>568</v>
      </c>
      <c r="R444" s="14">
        <v>0.41666666666666702</v>
      </c>
    </row>
    <row r="445" spans="1:18" hidden="1" x14ac:dyDescent="0.3">
      <c r="A445" t="s">
        <v>1020</v>
      </c>
      <c r="B445" s="1">
        <v>46248</v>
      </c>
      <c r="C445" t="s">
        <v>1236</v>
      </c>
      <c r="D445" t="s">
        <v>193</v>
      </c>
      <c r="E445" t="s">
        <v>393</v>
      </c>
      <c r="F445" s="2" t="s">
        <v>394</v>
      </c>
      <c r="G445" t="s">
        <v>371</v>
      </c>
      <c r="H445">
        <v>2</v>
      </c>
      <c r="I445">
        <v>1150</v>
      </c>
      <c r="J445">
        <v>0</v>
      </c>
      <c r="K445">
        <v>2300</v>
      </c>
      <c r="L445">
        <v>1400</v>
      </c>
      <c r="M445">
        <v>900</v>
      </c>
      <c r="N445" t="s">
        <v>579</v>
      </c>
      <c r="O445" t="s">
        <v>266</v>
      </c>
      <c r="P445" t="s">
        <v>18</v>
      </c>
      <c r="Q445" t="s">
        <v>574</v>
      </c>
      <c r="R445" s="14">
        <v>0.39130434782608697</v>
      </c>
    </row>
    <row r="446" spans="1:18" hidden="1" x14ac:dyDescent="0.3">
      <c r="A446" t="s">
        <v>1021</v>
      </c>
      <c r="B446" s="1">
        <v>46045</v>
      </c>
      <c r="C446" t="s">
        <v>1234</v>
      </c>
      <c r="D446" t="s">
        <v>225</v>
      </c>
      <c r="E446" t="s">
        <v>387</v>
      </c>
      <c r="F446" s="2" t="s">
        <v>388</v>
      </c>
      <c r="G446" t="s">
        <v>347</v>
      </c>
      <c r="H446">
        <v>1</v>
      </c>
      <c r="I446">
        <v>850</v>
      </c>
      <c r="J446">
        <v>0</v>
      </c>
      <c r="K446">
        <v>850</v>
      </c>
      <c r="L446">
        <v>520</v>
      </c>
      <c r="M446">
        <v>330</v>
      </c>
      <c r="N446" t="s">
        <v>567</v>
      </c>
      <c r="O446" t="s">
        <v>269</v>
      </c>
      <c r="P446" t="s">
        <v>8</v>
      </c>
      <c r="Q446" t="s">
        <v>574</v>
      </c>
      <c r="R446" s="14">
        <v>0.38823529411764701</v>
      </c>
    </row>
    <row r="447" spans="1:18" hidden="1" x14ac:dyDescent="0.3">
      <c r="A447" t="s">
        <v>1022</v>
      </c>
      <c r="B447" s="1">
        <v>46076</v>
      </c>
      <c r="C447" t="s">
        <v>1235</v>
      </c>
      <c r="D447" t="s">
        <v>147</v>
      </c>
      <c r="E447" t="s">
        <v>382</v>
      </c>
      <c r="F447" s="2" t="s">
        <v>383</v>
      </c>
      <c r="G447" t="s">
        <v>384</v>
      </c>
      <c r="H447">
        <v>1</v>
      </c>
      <c r="I447">
        <v>1200</v>
      </c>
      <c r="J447">
        <v>20</v>
      </c>
      <c r="K447">
        <v>1180</v>
      </c>
      <c r="L447">
        <v>730</v>
      </c>
      <c r="M447">
        <v>450</v>
      </c>
      <c r="N447" t="s">
        <v>567</v>
      </c>
      <c r="O447" t="s">
        <v>269</v>
      </c>
      <c r="P447" t="s">
        <v>8</v>
      </c>
      <c r="Q447" t="s">
        <v>568</v>
      </c>
      <c r="R447" s="14">
        <v>0.38135593220338998</v>
      </c>
    </row>
    <row r="448" spans="1:18" x14ac:dyDescent="0.3">
      <c r="A448" t="s">
        <v>1023</v>
      </c>
      <c r="B448" s="1">
        <v>46025</v>
      </c>
      <c r="C448" t="s">
        <v>1234</v>
      </c>
      <c r="D448" t="s">
        <v>109</v>
      </c>
      <c r="E448" t="s">
        <v>360</v>
      </c>
      <c r="F448" s="2" t="s">
        <v>361</v>
      </c>
      <c r="G448" t="s">
        <v>362</v>
      </c>
      <c r="H448">
        <v>1</v>
      </c>
      <c r="I448">
        <v>1100</v>
      </c>
      <c r="J448">
        <v>0</v>
      </c>
      <c r="K448">
        <v>1100</v>
      </c>
      <c r="L448">
        <v>680</v>
      </c>
      <c r="M448">
        <v>420</v>
      </c>
      <c r="N448" t="s">
        <v>576</v>
      </c>
      <c r="O448" t="s">
        <v>266</v>
      </c>
      <c r="P448" t="s">
        <v>8</v>
      </c>
      <c r="Q448" t="s">
        <v>585</v>
      </c>
      <c r="R448" s="14">
        <v>0.381818181818182</v>
      </c>
    </row>
    <row r="449" spans="1:18" hidden="1" x14ac:dyDescent="0.3">
      <c r="A449" t="s">
        <v>1024</v>
      </c>
      <c r="B449" s="1">
        <v>46109</v>
      </c>
      <c r="C449" t="s">
        <v>1230</v>
      </c>
      <c r="D449" t="s">
        <v>123</v>
      </c>
      <c r="E449" t="s">
        <v>355</v>
      </c>
      <c r="F449" s="2" t="s">
        <v>356</v>
      </c>
      <c r="G449" t="s">
        <v>343</v>
      </c>
      <c r="H449">
        <v>2</v>
      </c>
      <c r="I449">
        <v>550</v>
      </c>
      <c r="J449">
        <v>75</v>
      </c>
      <c r="K449">
        <v>1025</v>
      </c>
      <c r="L449">
        <v>600</v>
      </c>
      <c r="M449">
        <v>425</v>
      </c>
      <c r="N449" t="s">
        <v>579</v>
      </c>
      <c r="O449" t="s">
        <v>266</v>
      </c>
      <c r="P449" t="s">
        <v>8</v>
      </c>
      <c r="Q449" t="s">
        <v>585</v>
      </c>
      <c r="R449" s="14">
        <v>0.41463414634146301</v>
      </c>
    </row>
    <row r="450" spans="1:18" hidden="1" x14ac:dyDescent="0.3">
      <c r="A450" t="s">
        <v>1025</v>
      </c>
      <c r="B450" s="1">
        <v>46262</v>
      </c>
      <c r="C450" t="s">
        <v>1236</v>
      </c>
      <c r="D450" t="s">
        <v>101</v>
      </c>
      <c r="E450" t="s">
        <v>393</v>
      </c>
      <c r="F450" s="2" t="s">
        <v>394</v>
      </c>
      <c r="G450" t="s">
        <v>371</v>
      </c>
      <c r="H450">
        <v>1</v>
      </c>
      <c r="I450">
        <v>1150</v>
      </c>
      <c r="J450">
        <v>0</v>
      </c>
      <c r="K450">
        <v>1150</v>
      </c>
      <c r="L450">
        <v>700</v>
      </c>
      <c r="M450">
        <v>450</v>
      </c>
      <c r="N450" t="s">
        <v>576</v>
      </c>
      <c r="O450" t="s">
        <v>269</v>
      </c>
      <c r="P450" t="s">
        <v>8</v>
      </c>
      <c r="Q450" t="s">
        <v>568</v>
      </c>
      <c r="R450" s="14">
        <v>0.39130434782608697</v>
      </c>
    </row>
    <row r="451" spans="1:18" hidden="1" x14ac:dyDescent="0.3">
      <c r="A451" t="s">
        <v>1026</v>
      </c>
      <c r="B451" s="1">
        <v>46053</v>
      </c>
      <c r="C451" t="s">
        <v>1234</v>
      </c>
      <c r="D451" t="s">
        <v>91</v>
      </c>
      <c r="E451" t="s">
        <v>341</v>
      </c>
      <c r="F451" s="2" t="s">
        <v>342</v>
      </c>
      <c r="G451" t="s">
        <v>343</v>
      </c>
      <c r="H451">
        <v>1</v>
      </c>
      <c r="I451">
        <v>750</v>
      </c>
      <c r="J451">
        <v>20</v>
      </c>
      <c r="K451">
        <v>730</v>
      </c>
      <c r="L451">
        <v>430</v>
      </c>
      <c r="M451">
        <v>300</v>
      </c>
      <c r="N451" t="s">
        <v>579</v>
      </c>
      <c r="O451" t="s">
        <v>266</v>
      </c>
      <c r="P451" t="s">
        <v>18</v>
      </c>
      <c r="Q451" t="s">
        <v>568</v>
      </c>
      <c r="R451" s="14">
        <v>0.41095890410958902</v>
      </c>
    </row>
    <row r="452" spans="1:18" hidden="1" x14ac:dyDescent="0.3">
      <c r="A452" t="s">
        <v>1027</v>
      </c>
      <c r="B452" s="1">
        <v>46032</v>
      </c>
      <c r="C452" t="s">
        <v>1234</v>
      </c>
      <c r="D452" t="s">
        <v>179</v>
      </c>
      <c r="E452" t="s">
        <v>396</v>
      </c>
      <c r="F452" s="2" t="s">
        <v>397</v>
      </c>
      <c r="G452" t="s">
        <v>376</v>
      </c>
      <c r="H452">
        <v>2</v>
      </c>
      <c r="I452">
        <v>600</v>
      </c>
      <c r="J452">
        <v>100</v>
      </c>
      <c r="K452">
        <v>1100</v>
      </c>
      <c r="L452">
        <v>700</v>
      </c>
      <c r="M452">
        <v>400</v>
      </c>
      <c r="N452" t="s">
        <v>573</v>
      </c>
      <c r="O452" t="s">
        <v>269</v>
      </c>
      <c r="P452" t="s">
        <v>18</v>
      </c>
      <c r="Q452" t="s">
        <v>585</v>
      </c>
      <c r="R452" s="14">
        <v>0.36363636363636398</v>
      </c>
    </row>
    <row r="453" spans="1:18" hidden="1" x14ac:dyDescent="0.3">
      <c r="A453" t="s">
        <v>1028</v>
      </c>
      <c r="B453" s="1">
        <v>46213</v>
      </c>
      <c r="C453" t="s">
        <v>1232</v>
      </c>
      <c r="D453" t="s">
        <v>185</v>
      </c>
      <c r="E453" t="s">
        <v>341</v>
      </c>
      <c r="F453" s="2" t="s">
        <v>342</v>
      </c>
      <c r="G453" t="s">
        <v>343</v>
      </c>
      <c r="H453">
        <v>2</v>
      </c>
      <c r="I453">
        <v>750</v>
      </c>
      <c r="J453">
        <v>50</v>
      </c>
      <c r="K453">
        <v>1450</v>
      </c>
      <c r="L453">
        <v>860</v>
      </c>
      <c r="M453">
        <v>590</v>
      </c>
      <c r="N453" t="s">
        <v>570</v>
      </c>
      <c r="O453" t="s">
        <v>266</v>
      </c>
      <c r="P453" t="s">
        <v>13</v>
      </c>
      <c r="Q453" t="s">
        <v>585</v>
      </c>
      <c r="R453" s="14">
        <v>0.40689655172413802</v>
      </c>
    </row>
    <row r="454" spans="1:18" hidden="1" x14ac:dyDescent="0.3">
      <c r="A454" t="s">
        <v>1029</v>
      </c>
      <c r="B454" s="1">
        <v>46189</v>
      </c>
      <c r="C454" t="s">
        <v>1233</v>
      </c>
      <c r="D454" t="s">
        <v>147</v>
      </c>
      <c r="E454" t="s">
        <v>400</v>
      </c>
      <c r="F454" s="2" t="s">
        <v>401</v>
      </c>
      <c r="G454" t="s">
        <v>384</v>
      </c>
      <c r="H454">
        <v>1</v>
      </c>
      <c r="I454">
        <v>950</v>
      </c>
      <c r="J454">
        <v>0</v>
      </c>
      <c r="K454">
        <v>950</v>
      </c>
      <c r="L454">
        <v>570</v>
      </c>
      <c r="M454">
        <v>380</v>
      </c>
      <c r="N454" t="s">
        <v>573</v>
      </c>
      <c r="O454" t="s">
        <v>269</v>
      </c>
      <c r="P454" t="s">
        <v>18</v>
      </c>
      <c r="Q454" t="s">
        <v>568</v>
      </c>
      <c r="R454" s="14">
        <v>0.4</v>
      </c>
    </row>
    <row r="455" spans="1:18" hidden="1" x14ac:dyDescent="0.3">
      <c r="A455" t="s">
        <v>1030</v>
      </c>
      <c r="B455" s="1">
        <v>46191</v>
      </c>
      <c r="C455" t="s">
        <v>1233</v>
      </c>
      <c r="D455" t="s">
        <v>193</v>
      </c>
      <c r="E455" t="s">
        <v>366</v>
      </c>
      <c r="F455" s="2" t="s">
        <v>367</v>
      </c>
      <c r="G455" t="s">
        <v>352</v>
      </c>
      <c r="H455">
        <v>3</v>
      </c>
      <c r="I455">
        <v>1500</v>
      </c>
      <c r="J455">
        <v>0</v>
      </c>
      <c r="K455">
        <v>4500</v>
      </c>
      <c r="L455">
        <v>2760</v>
      </c>
      <c r="M455">
        <v>1740</v>
      </c>
      <c r="N455" t="s">
        <v>573</v>
      </c>
      <c r="O455" t="s">
        <v>269</v>
      </c>
      <c r="P455" t="s">
        <v>8</v>
      </c>
      <c r="Q455" t="s">
        <v>568</v>
      </c>
      <c r="R455" s="14">
        <v>0.38666666666666699</v>
      </c>
    </row>
    <row r="456" spans="1:18" hidden="1" x14ac:dyDescent="0.3">
      <c r="A456" t="s">
        <v>1031</v>
      </c>
      <c r="B456" s="1">
        <v>46071</v>
      </c>
      <c r="C456" t="s">
        <v>1235</v>
      </c>
      <c r="D456" t="s">
        <v>159</v>
      </c>
      <c r="E456" t="s">
        <v>355</v>
      </c>
      <c r="F456" s="2" t="s">
        <v>356</v>
      </c>
      <c r="G456" t="s">
        <v>343</v>
      </c>
      <c r="H456">
        <v>1</v>
      </c>
      <c r="I456">
        <v>550</v>
      </c>
      <c r="J456">
        <v>0</v>
      </c>
      <c r="K456">
        <v>550</v>
      </c>
      <c r="L456">
        <v>300</v>
      </c>
      <c r="M456">
        <v>250</v>
      </c>
      <c r="N456" t="s">
        <v>567</v>
      </c>
      <c r="O456" t="s">
        <v>269</v>
      </c>
      <c r="P456" t="s">
        <v>13</v>
      </c>
      <c r="Q456" t="s">
        <v>568</v>
      </c>
      <c r="R456" s="14">
        <v>0.45454545454545398</v>
      </c>
    </row>
    <row r="457" spans="1:18" hidden="1" x14ac:dyDescent="0.3">
      <c r="A457" t="s">
        <v>1032</v>
      </c>
      <c r="B457" s="1">
        <v>46150</v>
      </c>
      <c r="C457" t="s">
        <v>1237</v>
      </c>
      <c r="D457" t="s">
        <v>143</v>
      </c>
      <c r="E457" t="s">
        <v>369</v>
      </c>
      <c r="F457" s="2" t="s">
        <v>370</v>
      </c>
      <c r="G457" t="s">
        <v>371</v>
      </c>
      <c r="H457">
        <v>1</v>
      </c>
      <c r="I457">
        <v>1450</v>
      </c>
      <c r="J457">
        <v>50</v>
      </c>
      <c r="K457">
        <v>1400</v>
      </c>
      <c r="L457">
        <v>900</v>
      </c>
      <c r="M457">
        <v>500</v>
      </c>
      <c r="N457" t="s">
        <v>579</v>
      </c>
      <c r="O457" t="s">
        <v>269</v>
      </c>
      <c r="P457" t="s">
        <v>18</v>
      </c>
      <c r="Q457" t="s">
        <v>585</v>
      </c>
      <c r="R457" s="14">
        <v>0.35714285714285698</v>
      </c>
    </row>
    <row r="458" spans="1:18" hidden="1" x14ac:dyDescent="0.3">
      <c r="A458" t="s">
        <v>1033</v>
      </c>
      <c r="B458" s="1">
        <v>46036</v>
      </c>
      <c r="C458" t="s">
        <v>1234</v>
      </c>
      <c r="D458" t="s">
        <v>75</v>
      </c>
      <c r="E458" t="s">
        <v>415</v>
      </c>
      <c r="F458" s="2" t="s">
        <v>416</v>
      </c>
      <c r="G458" t="s">
        <v>347</v>
      </c>
      <c r="H458">
        <v>1</v>
      </c>
      <c r="I458">
        <v>1250</v>
      </c>
      <c r="J458">
        <v>50</v>
      </c>
      <c r="K458">
        <v>1200</v>
      </c>
      <c r="L458">
        <v>760</v>
      </c>
      <c r="M458">
        <v>440</v>
      </c>
      <c r="N458" t="s">
        <v>567</v>
      </c>
      <c r="O458" t="s">
        <v>269</v>
      </c>
      <c r="P458" t="s">
        <v>18</v>
      </c>
      <c r="Q458" t="s">
        <v>574</v>
      </c>
      <c r="R458" s="14">
        <v>0.36666666666666697</v>
      </c>
    </row>
    <row r="459" spans="1:18" x14ac:dyDescent="0.3">
      <c r="A459" t="s">
        <v>1034</v>
      </c>
      <c r="B459" s="1">
        <v>46105</v>
      </c>
      <c r="C459" t="s">
        <v>1230</v>
      </c>
      <c r="D459" t="s">
        <v>241</v>
      </c>
      <c r="E459" t="s">
        <v>419</v>
      </c>
      <c r="F459" s="2" t="s">
        <v>420</v>
      </c>
      <c r="G459" t="s">
        <v>362</v>
      </c>
      <c r="H459">
        <v>1</v>
      </c>
      <c r="I459">
        <v>1350</v>
      </c>
      <c r="J459">
        <v>100</v>
      </c>
      <c r="K459">
        <v>1250</v>
      </c>
      <c r="L459">
        <v>850</v>
      </c>
      <c r="M459">
        <v>400</v>
      </c>
      <c r="N459" t="s">
        <v>573</v>
      </c>
      <c r="O459" t="s">
        <v>269</v>
      </c>
      <c r="P459" t="s">
        <v>18</v>
      </c>
      <c r="Q459" t="s">
        <v>574</v>
      </c>
      <c r="R459" s="14">
        <v>0.32</v>
      </c>
    </row>
    <row r="460" spans="1:18" hidden="1" x14ac:dyDescent="0.3">
      <c r="A460" t="s">
        <v>1035</v>
      </c>
      <c r="B460" s="1">
        <v>46249</v>
      </c>
      <c r="C460" t="s">
        <v>1236</v>
      </c>
      <c r="D460" t="s">
        <v>45</v>
      </c>
      <c r="E460" t="s">
        <v>400</v>
      </c>
      <c r="F460" s="2" t="s">
        <v>401</v>
      </c>
      <c r="G460" t="s">
        <v>384</v>
      </c>
      <c r="H460">
        <v>1</v>
      </c>
      <c r="I460">
        <v>950</v>
      </c>
      <c r="J460">
        <v>75</v>
      </c>
      <c r="K460">
        <v>875</v>
      </c>
      <c r="L460">
        <v>570</v>
      </c>
      <c r="M460">
        <v>305</v>
      </c>
      <c r="N460" t="s">
        <v>576</v>
      </c>
      <c r="O460" t="s">
        <v>266</v>
      </c>
      <c r="P460" t="s">
        <v>18</v>
      </c>
      <c r="Q460" t="s">
        <v>585</v>
      </c>
      <c r="R460" s="14">
        <v>0.34857142857142898</v>
      </c>
    </row>
    <row r="461" spans="1:18" hidden="1" x14ac:dyDescent="0.3">
      <c r="A461" t="s">
        <v>1036</v>
      </c>
      <c r="B461" s="1">
        <v>46173</v>
      </c>
      <c r="C461" t="s">
        <v>1237</v>
      </c>
      <c r="D461" t="s">
        <v>9</v>
      </c>
      <c r="E461" t="s">
        <v>382</v>
      </c>
      <c r="F461" s="2" t="s">
        <v>383</v>
      </c>
      <c r="G461" t="s">
        <v>384</v>
      </c>
      <c r="H461">
        <v>1</v>
      </c>
      <c r="I461">
        <v>1200</v>
      </c>
      <c r="J461">
        <v>0</v>
      </c>
      <c r="K461">
        <v>1200</v>
      </c>
      <c r="L461">
        <v>730</v>
      </c>
      <c r="M461">
        <v>470</v>
      </c>
      <c r="N461" t="s">
        <v>570</v>
      </c>
      <c r="O461" t="s">
        <v>269</v>
      </c>
      <c r="P461" t="s">
        <v>13</v>
      </c>
      <c r="Q461" t="s">
        <v>568</v>
      </c>
      <c r="R461" s="14">
        <v>0.391666666666667</v>
      </c>
    </row>
    <row r="462" spans="1:18" hidden="1" x14ac:dyDescent="0.3">
      <c r="A462" t="s">
        <v>1037</v>
      </c>
      <c r="B462" s="1">
        <v>46038</v>
      </c>
      <c r="C462" t="s">
        <v>1234</v>
      </c>
      <c r="D462" t="s">
        <v>245</v>
      </c>
      <c r="E462" t="s">
        <v>396</v>
      </c>
      <c r="F462" s="2" t="s">
        <v>397</v>
      </c>
      <c r="G462" t="s">
        <v>376</v>
      </c>
      <c r="H462">
        <v>2</v>
      </c>
      <c r="I462">
        <v>600</v>
      </c>
      <c r="J462">
        <v>20</v>
      </c>
      <c r="K462">
        <v>1180</v>
      </c>
      <c r="L462">
        <v>700</v>
      </c>
      <c r="M462">
        <v>480</v>
      </c>
      <c r="N462" t="s">
        <v>570</v>
      </c>
      <c r="O462" t="s">
        <v>269</v>
      </c>
      <c r="P462" t="s">
        <v>8</v>
      </c>
      <c r="Q462" t="s">
        <v>568</v>
      </c>
      <c r="R462" s="14">
        <v>0.40677966101694901</v>
      </c>
    </row>
    <row r="463" spans="1:18" hidden="1" x14ac:dyDescent="0.3">
      <c r="A463" t="s">
        <v>1038</v>
      </c>
      <c r="B463" s="1">
        <v>46148</v>
      </c>
      <c r="C463" t="s">
        <v>1237</v>
      </c>
      <c r="D463" t="s">
        <v>113</v>
      </c>
      <c r="E463" t="s">
        <v>400</v>
      </c>
      <c r="F463" s="2" t="s">
        <v>401</v>
      </c>
      <c r="G463" t="s">
        <v>384</v>
      </c>
      <c r="H463">
        <v>1</v>
      </c>
      <c r="I463">
        <v>950</v>
      </c>
      <c r="J463">
        <v>20</v>
      </c>
      <c r="K463">
        <v>930</v>
      </c>
      <c r="L463">
        <v>570</v>
      </c>
      <c r="M463">
        <v>360</v>
      </c>
      <c r="N463" t="s">
        <v>570</v>
      </c>
      <c r="O463" t="s">
        <v>269</v>
      </c>
      <c r="P463" t="s">
        <v>18</v>
      </c>
      <c r="Q463" t="s">
        <v>568</v>
      </c>
      <c r="R463" s="14">
        <v>0.38709677419354799</v>
      </c>
    </row>
    <row r="464" spans="1:18" x14ac:dyDescent="0.3">
      <c r="A464" t="s">
        <v>1039</v>
      </c>
      <c r="B464" s="1">
        <v>46100</v>
      </c>
      <c r="C464" t="s">
        <v>1230</v>
      </c>
      <c r="D464" t="s">
        <v>145</v>
      </c>
      <c r="E464" t="s">
        <v>419</v>
      </c>
      <c r="F464" s="2" t="s">
        <v>420</v>
      </c>
      <c r="G464" t="s">
        <v>362</v>
      </c>
      <c r="H464">
        <v>1</v>
      </c>
      <c r="I464">
        <v>1350</v>
      </c>
      <c r="J464">
        <v>50</v>
      </c>
      <c r="K464">
        <v>1300</v>
      </c>
      <c r="L464">
        <v>850</v>
      </c>
      <c r="M464">
        <v>450</v>
      </c>
      <c r="N464" t="s">
        <v>570</v>
      </c>
      <c r="O464" t="s">
        <v>269</v>
      </c>
      <c r="P464" t="s">
        <v>8</v>
      </c>
      <c r="Q464" t="s">
        <v>568</v>
      </c>
      <c r="R464" s="14">
        <v>0.34615384615384598</v>
      </c>
    </row>
    <row r="465" spans="1:18" hidden="1" x14ac:dyDescent="0.3">
      <c r="A465" t="s">
        <v>1040</v>
      </c>
      <c r="B465" s="1">
        <v>46216</v>
      </c>
      <c r="C465" t="s">
        <v>1232</v>
      </c>
      <c r="D465" t="s">
        <v>195</v>
      </c>
      <c r="E465" t="s">
        <v>382</v>
      </c>
      <c r="F465" s="2" t="s">
        <v>383</v>
      </c>
      <c r="G465" t="s">
        <v>384</v>
      </c>
      <c r="H465">
        <v>2</v>
      </c>
      <c r="I465">
        <v>1200</v>
      </c>
      <c r="J465">
        <v>0</v>
      </c>
      <c r="K465">
        <v>2400</v>
      </c>
      <c r="L465">
        <v>1460</v>
      </c>
      <c r="M465">
        <v>940</v>
      </c>
      <c r="N465" t="s">
        <v>576</v>
      </c>
      <c r="O465" t="s">
        <v>269</v>
      </c>
      <c r="P465" t="s">
        <v>13</v>
      </c>
      <c r="Q465" t="s">
        <v>585</v>
      </c>
      <c r="R465" s="14">
        <v>0.391666666666667</v>
      </c>
    </row>
    <row r="466" spans="1:18" x14ac:dyDescent="0.3">
      <c r="A466" t="s">
        <v>1041</v>
      </c>
      <c r="B466" s="1">
        <v>46169</v>
      </c>
      <c r="C466" t="s">
        <v>1237</v>
      </c>
      <c r="D466" t="s">
        <v>115</v>
      </c>
      <c r="E466" t="s">
        <v>360</v>
      </c>
      <c r="F466" s="2" t="s">
        <v>361</v>
      </c>
      <c r="G466" t="s">
        <v>362</v>
      </c>
      <c r="H466">
        <v>2</v>
      </c>
      <c r="I466">
        <v>1100</v>
      </c>
      <c r="J466">
        <v>0</v>
      </c>
      <c r="K466">
        <v>2200</v>
      </c>
      <c r="L466">
        <v>1360</v>
      </c>
      <c r="M466">
        <v>840</v>
      </c>
      <c r="N466" t="s">
        <v>567</v>
      </c>
      <c r="O466" t="s">
        <v>266</v>
      </c>
      <c r="P466" t="s">
        <v>13</v>
      </c>
      <c r="Q466" t="s">
        <v>568</v>
      </c>
      <c r="R466" s="14">
        <v>0.381818181818182</v>
      </c>
    </row>
    <row r="467" spans="1:18" hidden="1" x14ac:dyDescent="0.3">
      <c r="A467" t="s">
        <v>1042</v>
      </c>
      <c r="B467" s="1">
        <v>46240</v>
      </c>
      <c r="C467" t="s">
        <v>1236</v>
      </c>
      <c r="D467" t="s">
        <v>131</v>
      </c>
      <c r="E467" t="s">
        <v>374</v>
      </c>
      <c r="F467" s="2" t="s">
        <v>375</v>
      </c>
      <c r="G467" t="s">
        <v>376</v>
      </c>
      <c r="H467">
        <v>1</v>
      </c>
      <c r="I467">
        <v>800</v>
      </c>
      <c r="J467">
        <v>100</v>
      </c>
      <c r="K467">
        <v>700</v>
      </c>
      <c r="L467">
        <v>470</v>
      </c>
      <c r="M467">
        <v>230</v>
      </c>
      <c r="N467" t="s">
        <v>567</v>
      </c>
      <c r="O467" t="s">
        <v>266</v>
      </c>
      <c r="P467" t="s">
        <v>13</v>
      </c>
      <c r="Q467" t="s">
        <v>568</v>
      </c>
      <c r="R467" s="14">
        <v>0.32857142857142901</v>
      </c>
    </row>
    <row r="468" spans="1:18" hidden="1" x14ac:dyDescent="0.3">
      <c r="A468" t="s">
        <v>1043</v>
      </c>
      <c r="B468" s="1">
        <v>46219</v>
      </c>
      <c r="C468" t="s">
        <v>1232</v>
      </c>
      <c r="D468" t="s">
        <v>171</v>
      </c>
      <c r="E468" t="s">
        <v>369</v>
      </c>
      <c r="F468" s="2" t="s">
        <v>370</v>
      </c>
      <c r="G468" t="s">
        <v>371</v>
      </c>
      <c r="H468">
        <v>1</v>
      </c>
      <c r="I468">
        <v>1450</v>
      </c>
      <c r="J468">
        <v>20</v>
      </c>
      <c r="K468">
        <v>1430</v>
      </c>
      <c r="L468">
        <v>900</v>
      </c>
      <c r="M468">
        <v>530</v>
      </c>
      <c r="N468" t="s">
        <v>579</v>
      </c>
      <c r="O468" t="s">
        <v>266</v>
      </c>
      <c r="P468" t="s">
        <v>13</v>
      </c>
      <c r="Q468" t="s">
        <v>568</v>
      </c>
      <c r="R468" s="14">
        <v>0.37062937062937101</v>
      </c>
    </row>
    <row r="469" spans="1:18" hidden="1" x14ac:dyDescent="0.3">
      <c r="A469" t="s">
        <v>1044</v>
      </c>
      <c r="B469" s="1">
        <v>46032</v>
      </c>
      <c r="C469" t="s">
        <v>1234</v>
      </c>
      <c r="D469" t="s">
        <v>203</v>
      </c>
      <c r="E469" t="s">
        <v>387</v>
      </c>
      <c r="F469" s="2" t="s">
        <v>388</v>
      </c>
      <c r="G469" t="s">
        <v>347</v>
      </c>
      <c r="H469">
        <v>1</v>
      </c>
      <c r="I469">
        <v>850</v>
      </c>
      <c r="J469">
        <v>0</v>
      </c>
      <c r="K469">
        <v>850</v>
      </c>
      <c r="L469">
        <v>520</v>
      </c>
      <c r="M469">
        <v>330</v>
      </c>
      <c r="N469" t="s">
        <v>573</v>
      </c>
      <c r="O469" t="s">
        <v>269</v>
      </c>
      <c r="P469" t="s">
        <v>8</v>
      </c>
      <c r="Q469" t="s">
        <v>568</v>
      </c>
      <c r="R469" s="14">
        <v>0.38823529411764701</v>
      </c>
    </row>
    <row r="470" spans="1:18" hidden="1" x14ac:dyDescent="0.3">
      <c r="A470" t="s">
        <v>1045</v>
      </c>
      <c r="B470" s="1">
        <v>46205</v>
      </c>
      <c r="C470" t="s">
        <v>1232</v>
      </c>
      <c r="D470" t="s">
        <v>85</v>
      </c>
      <c r="E470" t="s">
        <v>369</v>
      </c>
      <c r="F470" s="2" t="s">
        <v>370</v>
      </c>
      <c r="G470" t="s">
        <v>371</v>
      </c>
      <c r="H470">
        <v>2</v>
      </c>
      <c r="I470">
        <v>1450</v>
      </c>
      <c r="J470">
        <v>0</v>
      </c>
      <c r="K470">
        <v>2900</v>
      </c>
      <c r="L470">
        <v>1800</v>
      </c>
      <c r="M470">
        <v>1100</v>
      </c>
      <c r="N470" t="s">
        <v>570</v>
      </c>
      <c r="O470" t="s">
        <v>269</v>
      </c>
      <c r="P470" t="s">
        <v>18</v>
      </c>
      <c r="Q470" t="s">
        <v>571</v>
      </c>
      <c r="R470" s="14">
        <v>0.37931034482758602</v>
      </c>
    </row>
    <row r="471" spans="1:18" hidden="1" x14ac:dyDescent="0.3">
      <c r="A471" t="s">
        <v>1046</v>
      </c>
      <c r="B471" s="1">
        <v>46169</v>
      </c>
      <c r="C471" t="s">
        <v>1237</v>
      </c>
      <c r="D471" t="s">
        <v>175</v>
      </c>
      <c r="E471" t="s">
        <v>393</v>
      </c>
      <c r="F471" s="2" t="s">
        <v>394</v>
      </c>
      <c r="G471" t="s">
        <v>371</v>
      </c>
      <c r="H471">
        <v>1</v>
      </c>
      <c r="I471">
        <v>1150</v>
      </c>
      <c r="J471">
        <v>50</v>
      </c>
      <c r="K471">
        <v>1100</v>
      </c>
      <c r="L471">
        <v>700</v>
      </c>
      <c r="M471">
        <v>400</v>
      </c>
      <c r="N471" t="s">
        <v>570</v>
      </c>
      <c r="O471" t="s">
        <v>269</v>
      </c>
      <c r="P471" t="s">
        <v>8</v>
      </c>
      <c r="Q471" t="s">
        <v>568</v>
      </c>
      <c r="R471" s="14">
        <v>0.36363636363636398</v>
      </c>
    </row>
    <row r="472" spans="1:18" hidden="1" x14ac:dyDescent="0.3">
      <c r="A472" t="s">
        <v>1047</v>
      </c>
      <c r="B472" s="1">
        <v>46049</v>
      </c>
      <c r="C472" t="s">
        <v>1234</v>
      </c>
      <c r="D472" t="s">
        <v>27</v>
      </c>
      <c r="E472" t="s">
        <v>345</v>
      </c>
      <c r="F472" s="2" t="s">
        <v>346</v>
      </c>
      <c r="G472" t="s">
        <v>347</v>
      </c>
      <c r="H472">
        <v>2</v>
      </c>
      <c r="I472">
        <v>700</v>
      </c>
      <c r="J472">
        <v>20</v>
      </c>
      <c r="K472">
        <v>1380</v>
      </c>
      <c r="L472">
        <v>820</v>
      </c>
      <c r="M472">
        <v>560</v>
      </c>
      <c r="N472" t="s">
        <v>573</v>
      </c>
      <c r="O472" t="s">
        <v>269</v>
      </c>
      <c r="P472" t="s">
        <v>8</v>
      </c>
      <c r="Q472" t="s">
        <v>568</v>
      </c>
      <c r="R472" s="14">
        <v>0.405797101449275</v>
      </c>
    </row>
    <row r="473" spans="1:18" hidden="1" x14ac:dyDescent="0.3">
      <c r="A473" t="s">
        <v>1048</v>
      </c>
      <c r="B473" s="1">
        <v>46218</v>
      </c>
      <c r="C473" t="s">
        <v>1232</v>
      </c>
      <c r="D473" t="s">
        <v>137</v>
      </c>
      <c r="E473" t="s">
        <v>355</v>
      </c>
      <c r="F473" s="2" t="s">
        <v>356</v>
      </c>
      <c r="G473" t="s">
        <v>343</v>
      </c>
      <c r="H473">
        <v>1</v>
      </c>
      <c r="I473">
        <v>550</v>
      </c>
      <c r="J473">
        <v>0</v>
      </c>
      <c r="K473">
        <v>550</v>
      </c>
      <c r="L473">
        <v>300</v>
      </c>
      <c r="M473">
        <v>250</v>
      </c>
      <c r="N473" t="s">
        <v>570</v>
      </c>
      <c r="O473" t="s">
        <v>266</v>
      </c>
      <c r="P473" t="s">
        <v>13</v>
      </c>
      <c r="Q473" t="s">
        <v>568</v>
      </c>
      <c r="R473" s="14">
        <v>0.45454545454545398</v>
      </c>
    </row>
    <row r="474" spans="1:18" hidden="1" x14ac:dyDescent="0.3">
      <c r="A474" t="s">
        <v>1049</v>
      </c>
      <c r="B474" s="1">
        <v>46171</v>
      </c>
      <c r="C474" t="s">
        <v>1237</v>
      </c>
      <c r="D474" t="s">
        <v>247</v>
      </c>
      <c r="E474" t="s">
        <v>374</v>
      </c>
      <c r="F474" s="2" t="s">
        <v>375</v>
      </c>
      <c r="G474" t="s">
        <v>376</v>
      </c>
      <c r="H474">
        <v>1</v>
      </c>
      <c r="I474">
        <v>800</v>
      </c>
      <c r="J474">
        <v>100</v>
      </c>
      <c r="K474">
        <v>700</v>
      </c>
      <c r="L474">
        <v>470</v>
      </c>
      <c r="M474">
        <v>230</v>
      </c>
      <c r="N474" t="s">
        <v>576</v>
      </c>
      <c r="O474" t="s">
        <v>266</v>
      </c>
      <c r="P474" t="s">
        <v>8</v>
      </c>
      <c r="Q474" t="s">
        <v>574</v>
      </c>
      <c r="R474" s="14">
        <v>0.32857142857142901</v>
      </c>
    </row>
    <row r="475" spans="1:18" hidden="1" x14ac:dyDescent="0.3">
      <c r="A475" t="s">
        <v>1050</v>
      </c>
      <c r="B475" s="1">
        <v>46029</v>
      </c>
      <c r="C475" t="s">
        <v>1234</v>
      </c>
      <c r="D475" t="s">
        <v>105</v>
      </c>
      <c r="E475" t="s">
        <v>350</v>
      </c>
      <c r="F475" s="2" t="s">
        <v>351</v>
      </c>
      <c r="G475" t="s">
        <v>352</v>
      </c>
      <c r="H475">
        <v>2</v>
      </c>
      <c r="I475">
        <v>900</v>
      </c>
      <c r="J475">
        <v>20</v>
      </c>
      <c r="K475">
        <v>1780</v>
      </c>
      <c r="L475">
        <v>1080</v>
      </c>
      <c r="M475">
        <v>700</v>
      </c>
      <c r="N475" t="s">
        <v>573</v>
      </c>
      <c r="O475" t="s">
        <v>266</v>
      </c>
      <c r="P475" t="s">
        <v>18</v>
      </c>
      <c r="Q475" t="s">
        <v>571</v>
      </c>
      <c r="R475" s="14">
        <v>0.39325842696629199</v>
      </c>
    </row>
    <row r="476" spans="1:18" hidden="1" x14ac:dyDescent="0.3">
      <c r="A476" t="s">
        <v>1051</v>
      </c>
      <c r="B476" s="1">
        <v>46182</v>
      </c>
      <c r="C476" t="s">
        <v>1233</v>
      </c>
      <c r="D476" t="s">
        <v>71</v>
      </c>
      <c r="E476" t="s">
        <v>355</v>
      </c>
      <c r="F476" s="2" t="s">
        <v>356</v>
      </c>
      <c r="G476" t="s">
        <v>343</v>
      </c>
      <c r="H476">
        <v>2</v>
      </c>
      <c r="I476">
        <v>550</v>
      </c>
      <c r="J476">
        <v>50</v>
      </c>
      <c r="K476">
        <v>1050</v>
      </c>
      <c r="L476">
        <v>600</v>
      </c>
      <c r="M476">
        <v>450</v>
      </c>
      <c r="N476" t="s">
        <v>573</v>
      </c>
      <c r="O476" t="s">
        <v>266</v>
      </c>
      <c r="P476" t="s">
        <v>8</v>
      </c>
      <c r="Q476" t="s">
        <v>585</v>
      </c>
      <c r="R476" s="14">
        <v>0.42857142857142899</v>
      </c>
    </row>
    <row r="477" spans="1:18" hidden="1" x14ac:dyDescent="0.3">
      <c r="A477" t="s">
        <v>1052</v>
      </c>
      <c r="B477" s="1">
        <v>46149</v>
      </c>
      <c r="C477" t="s">
        <v>1237</v>
      </c>
      <c r="D477" t="s">
        <v>57</v>
      </c>
      <c r="E477" t="s">
        <v>345</v>
      </c>
      <c r="F477" s="2" t="s">
        <v>346</v>
      </c>
      <c r="G477" t="s">
        <v>347</v>
      </c>
      <c r="H477">
        <v>1</v>
      </c>
      <c r="I477">
        <v>700</v>
      </c>
      <c r="J477">
        <v>50</v>
      </c>
      <c r="K477">
        <v>650</v>
      </c>
      <c r="L477">
        <v>410</v>
      </c>
      <c r="M477">
        <v>240</v>
      </c>
      <c r="N477" t="s">
        <v>576</v>
      </c>
      <c r="O477" t="s">
        <v>269</v>
      </c>
      <c r="P477" t="s">
        <v>18</v>
      </c>
      <c r="Q477" t="s">
        <v>585</v>
      </c>
      <c r="R477" s="14">
        <v>0.36923076923076897</v>
      </c>
    </row>
    <row r="478" spans="1:18" hidden="1" x14ac:dyDescent="0.3">
      <c r="A478" t="s">
        <v>1053</v>
      </c>
      <c r="B478" s="1">
        <v>46114</v>
      </c>
      <c r="C478" t="s">
        <v>1231</v>
      </c>
      <c r="D478" t="s">
        <v>41</v>
      </c>
      <c r="E478" t="s">
        <v>393</v>
      </c>
      <c r="F478" s="2" t="s">
        <v>394</v>
      </c>
      <c r="G478" t="s">
        <v>371</v>
      </c>
      <c r="H478">
        <v>2</v>
      </c>
      <c r="I478">
        <v>1150</v>
      </c>
      <c r="J478">
        <v>0</v>
      </c>
      <c r="K478">
        <v>2300</v>
      </c>
      <c r="L478">
        <v>1400</v>
      </c>
      <c r="M478">
        <v>900</v>
      </c>
      <c r="N478" t="s">
        <v>570</v>
      </c>
      <c r="O478" t="s">
        <v>269</v>
      </c>
      <c r="P478" t="s">
        <v>13</v>
      </c>
      <c r="Q478" t="s">
        <v>568</v>
      </c>
      <c r="R478" s="14">
        <v>0.39130434782608697</v>
      </c>
    </row>
    <row r="479" spans="1:18" hidden="1" x14ac:dyDescent="0.3">
      <c r="A479" t="s">
        <v>1054</v>
      </c>
      <c r="B479" s="1">
        <v>46173</v>
      </c>
      <c r="C479" t="s">
        <v>1237</v>
      </c>
      <c r="D479" t="s">
        <v>229</v>
      </c>
      <c r="E479" t="s">
        <v>355</v>
      </c>
      <c r="F479" s="2" t="s">
        <v>356</v>
      </c>
      <c r="G479" t="s">
        <v>343</v>
      </c>
      <c r="H479">
        <v>1</v>
      </c>
      <c r="I479">
        <v>550</v>
      </c>
      <c r="J479">
        <v>50</v>
      </c>
      <c r="K479">
        <v>500</v>
      </c>
      <c r="L479">
        <v>300</v>
      </c>
      <c r="M479">
        <v>200</v>
      </c>
      <c r="N479" t="s">
        <v>576</v>
      </c>
      <c r="O479" t="s">
        <v>269</v>
      </c>
      <c r="P479" t="s">
        <v>18</v>
      </c>
      <c r="Q479" t="s">
        <v>568</v>
      </c>
      <c r="R479" s="14">
        <v>0.4</v>
      </c>
    </row>
    <row r="480" spans="1:18" hidden="1" x14ac:dyDescent="0.3">
      <c r="A480" t="s">
        <v>1055</v>
      </c>
      <c r="B480" s="1">
        <v>46062</v>
      </c>
      <c r="C480" t="s">
        <v>1235</v>
      </c>
      <c r="D480" t="s">
        <v>157</v>
      </c>
      <c r="E480" t="s">
        <v>396</v>
      </c>
      <c r="F480" s="2" t="s">
        <v>397</v>
      </c>
      <c r="G480" t="s">
        <v>376</v>
      </c>
      <c r="H480">
        <v>1</v>
      </c>
      <c r="I480">
        <v>600</v>
      </c>
      <c r="J480">
        <v>0</v>
      </c>
      <c r="K480">
        <v>600</v>
      </c>
      <c r="L480">
        <v>350</v>
      </c>
      <c r="M480">
        <v>250</v>
      </c>
      <c r="N480" t="s">
        <v>567</v>
      </c>
      <c r="O480" t="s">
        <v>266</v>
      </c>
      <c r="P480" t="s">
        <v>18</v>
      </c>
      <c r="Q480" t="s">
        <v>568</v>
      </c>
      <c r="R480" s="14">
        <v>0.41666666666666702</v>
      </c>
    </row>
    <row r="481" spans="1:18" hidden="1" x14ac:dyDescent="0.3">
      <c r="A481" t="s">
        <v>1056</v>
      </c>
      <c r="B481" s="1">
        <v>46070</v>
      </c>
      <c r="C481" t="s">
        <v>1235</v>
      </c>
      <c r="D481" t="s">
        <v>245</v>
      </c>
      <c r="E481" t="s">
        <v>387</v>
      </c>
      <c r="F481" s="2" t="s">
        <v>388</v>
      </c>
      <c r="G481" t="s">
        <v>347</v>
      </c>
      <c r="H481">
        <v>2</v>
      </c>
      <c r="I481">
        <v>850</v>
      </c>
      <c r="J481">
        <v>0</v>
      </c>
      <c r="K481">
        <v>1700</v>
      </c>
      <c r="L481">
        <v>1040</v>
      </c>
      <c r="M481">
        <v>660</v>
      </c>
      <c r="N481" t="s">
        <v>579</v>
      </c>
      <c r="O481" t="s">
        <v>266</v>
      </c>
      <c r="P481" t="s">
        <v>8</v>
      </c>
      <c r="Q481" t="s">
        <v>568</v>
      </c>
      <c r="R481" s="14">
        <v>0.38823529411764701</v>
      </c>
    </row>
    <row r="482" spans="1:18" hidden="1" x14ac:dyDescent="0.3">
      <c r="A482" t="s">
        <v>1057</v>
      </c>
      <c r="B482" s="1">
        <v>46196</v>
      </c>
      <c r="C482" t="s">
        <v>1233</v>
      </c>
      <c r="D482" t="s">
        <v>11</v>
      </c>
      <c r="E482" t="s">
        <v>355</v>
      </c>
      <c r="F482" s="2" t="s">
        <v>356</v>
      </c>
      <c r="G482" t="s">
        <v>343</v>
      </c>
      <c r="H482">
        <v>3</v>
      </c>
      <c r="I482">
        <v>550</v>
      </c>
      <c r="J482">
        <v>20</v>
      </c>
      <c r="K482">
        <v>1630</v>
      </c>
      <c r="L482">
        <v>900</v>
      </c>
      <c r="M482">
        <v>730</v>
      </c>
      <c r="N482" t="s">
        <v>579</v>
      </c>
      <c r="O482" t="s">
        <v>266</v>
      </c>
      <c r="P482" t="s">
        <v>13</v>
      </c>
      <c r="Q482" t="s">
        <v>568</v>
      </c>
      <c r="R482" s="14">
        <v>0.44785276073619601</v>
      </c>
    </row>
    <row r="483" spans="1:18" hidden="1" x14ac:dyDescent="0.3">
      <c r="A483" t="s">
        <v>1058</v>
      </c>
      <c r="B483" s="1">
        <v>46256</v>
      </c>
      <c r="C483" t="s">
        <v>1236</v>
      </c>
      <c r="D483" t="s">
        <v>169</v>
      </c>
      <c r="E483" t="s">
        <v>393</v>
      </c>
      <c r="F483" s="2" t="s">
        <v>394</v>
      </c>
      <c r="G483" t="s">
        <v>371</v>
      </c>
      <c r="H483">
        <v>1</v>
      </c>
      <c r="I483">
        <v>1150</v>
      </c>
      <c r="J483">
        <v>0</v>
      </c>
      <c r="K483">
        <v>1150</v>
      </c>
      <c r="L483">
        <v>700</v>
      </c>
      <c r="M483">
        <v>450</v>
      </c>
      <c r="N483" t="s">
        <v>573</v>
      </c>
      <c r="O483" t="s">
        <v>269</v>
      </c>
      <c r="P483" t="s">
        <v>8</v>
      </c>
      <c r="Q483" t="s">
        <v>585</v>
      </c>
      <c r="R483" s="14">
        <v>0.39130434782608697</v>
      </c>
    </row>
    <row r="484" spans="1:18" x14ac:dyDescent="0.3">
      <c r="A484" t="s">
        <v>1059</v>
      </c>
      <c r="B484" s="1">
        <v>46204</v>
      </c>
      <c r="C484" t="s">
        <v>1232</v>
      </c>
      <c r="D484" t="s">
        <v>81</v>
      </c>
      <c r="E484" t="s">
        <v>360</v>
      </c>
      <c r="F484" s="2" t="s">
        <v>361</v>
      </c>
      <c r="G484" t="s">
        <v>362</v>
      </c>
      <c r="H484">
        <v>1</v>
      </c>
      <c r="I484">
        <v>1100</v>
      </c>
      <c r="J484">
        <v>20</v>
      </c>
      <c r="K484">
        <v>1080</v>
      </c>
      <c r="L484">
        <v>680</v>
      </c>
      <c r="M484">
        <v>400</v>
      </c>
      <c r="N484" t="s">
        <v>573</v>
      </c>
      <c r="O484" t="s">
        <v>266</v>
      </c>
      <c r="P484" t="s">
        <v>18</v>
      </c>
      <c r="Q484" t="s">
        <v>574</v>
      </c>
      <c r="R484" s="14">
        <v>0.37037037037037002</v>
      </c>
    </row>
    <row r="485" spans="1:18" hidden="1" x14ac:dyDescent="0.3">
      <c r="A485" t="s">
        <v>1060</v>
      </c>
      <c r="B485" s="1">
        <v>46252</v>
      </c>
      <c r="C485" t="s">
        <v>1236</v>
      </c>
      <c r="D485" t="s">
        <v>87</v>
      </c>
      <c r="E485" t="s">
        <v>366</v>
      </c>
      <c r="F485" s="2" t="s">
        <v>367</v>
      </c>
      <c r="G485" t="s">
        <v>352</v>
      </c>
      <c r="H485">
        <v>3</v>
      </c>
      <c r="I485">
        <v>1500</v>
      </c>
      <c r="J485">
        <v>50</v>
      </c>
      <c r="K485">
        <v>4450</v>
      </c>
      <c r="L485">
        <v>2760</v>
      </c>
      <c r="M485">
        <v>1690</v>
      </c>
      <c r="N485" t="s">
        <v>576</v>
      </c>
      <c r="O485" t="s">
        <v>266</v>
      </c>
      <c r="P485" t="s">
        <v>18</v>
      </c>
      <c r="Q485" t="s">
        <v>585</v>
      </c>
      <c r="R485" s="14">
        <v>0.37977528089887602</v>
      </c>
    </row>
    <row r="486" spans="1:18" hidden="1" x14ac:dyDescent="0.3">
      <c r="A486" t="s">
        <v>1061</v>
      </c>
      <c r="B486" s="1">
        <v>46161</v>
      </c>
      <c r="C486" t="s">
        <v>1237</v>
      </c>
      <c r="D486" t="s">
        <v>123</v>
      </c>
      <c r="E486" t="s">
        <v>350</v>
      </c>
      <c r="F486" s="2" t="s">
        <v>351</v>
      </c>
      <c r="G486" t="s">
        <v>352</v>
      </c>
      <c r="H486">
        <v>1</v>
      </c>
      <c r="I486">
        <v>900</v>
      </c>
      <c r="J486">
        <v>20</v>
      </c>
      <c r="K486">
        <v>880</v>
      </c>
      <c r="L486">
        <v>540</v>
      </c>
      <c r="M486">
        <v>340</v>
      </c>
      <c r="N486" t="s">
        <v>573</v>
      </c>
      <c r="O486" t="s">
        <v>269</v>
      </c>
      <c r="P486" t="s">
        <v>8</v>
      </c>
      <c r="Q486" t="s">
        <v>574</v>
      </c>
      <c r="R486" s="14">
        <v>0.38636363636363602</v>
      </c>
    </row>
    <row r="487" spans="1:18" hidden="1" x14ac:dyDescent="0.3">
      <c r="A487" t="s">
        <v>1062</v>
      </c>
      <c r="B487" s="1">
        <v>46242</v>
      </c>
      <c r="C487" t="s">
        <v>1236</v>
      </c>
      <c r="D487" t="s">
        <v>165</v>
      </c>
      <c r="E487" t="s">
        <v>366</v>
      </c>
      <c r="F487" s="2" t="s">
        <v>367</v>
      </c>
      <c r="G487" t="s">
        <v>352</v>
      </c>
      <c r="H487">
        <v>1</v>
      </c>
      <c r="I487">
        <v>1500</v>
      </c>
      <c r="J487">
        <v>0</v>
      </c>
      <c r="K487">
        <v>1500</v>
      </c>
      <c r="L487">
        <v>920</v>
      </c>
      <c r="M487">
        <v>580</v>
      </c>
      <c r="N487" t="s">
        <v>573</v>
      </c>
      <c r="O487" t="s">
        <v>269</v>
      </c>
      <c r="P487" t="s">
        <v>18</v>
      </c>
      <c r="Q487" t="s">
        <v>568</v>
      </c>
      <c r="R487" s="14">
        <v>0.38666666666666699</v>
      </c>
    </row>
    <row r="488" spans="1:18" hidden="1" x14ac:dyDescent="0.3">
      <c r="A488" t="s">
        <v>1063</v>
      </c>
      <c r="B488" s="1">
        <v>46107</v>
      </c>
      <c r="C488" t="s">
        <v>1230</v>
      </c>
      <c r="D488" t="s">
        <v>231</v>
      </c>
      <c r="E488" t="s">
        <v>345</v>
      </c>
      <c r="F488" s="2" t="s">
        <v>346</v>
      </c>
      <c r="G488" t="s">
        <v>347</v>
      </c>
      <c r="H488">
        <v>1</v>
      </c>
      <c r="I488">
        <v>700</v>
      </c>
      <c r="J488">
        <v>100</v>
      </c>
      <c r="K488">
        <v>600</v>
      </c>
      <c r="L488">
        <v>410</v>
      </c>
      <c r="M488">
        <v>190</v>
      </c>
      <c r="N488" t="s">
        <v>567</v>
      </c>
      <c r="O488" t="s">
        <v>269</v>
      </c>
      <c r="P488" t="s">
        <v>13</v>
      </c>
      <c r="Q488" t="s">
        <v>568</v>
      </c>
      <c r="R488" s="14">
        <v>0.31666666666666698</v>
      </c>
    </row>
    <row r="489" spans="1:18" hidden="1" x14ac:dyDescent="0.3">
      <c r="A489" t="s">
        <v>1064</v>
      </c>
      <c r="B489" s="1">
        <v>46069</v>
      </c>
      <c r="C489" t="s">
        <v>1235</v>
      </c>
      <c r="D489" t="s">
        <v>175</v>
      </c>
      <c r="E489" t="s">
        <v>341</v>
      </c>
      <c r="F489" s="2" t="s">
        <v>342</v>
      </c>
      <c r="G489" t="s">
        <v>343</v>
      </c>
      <c r="H489">
        <v>2</v>
      </c>
      <c r="I489">
        <v>750</v>
      </c>
      <c r="J489">
        <v>50</v>
      </c>
      <c r="K489">
        <v>1450</v>
      </c>
      <c r="L489">
        <v>860</v>
      </c>
      <c r="M489">
        <v>590</v>
      </c>
      <c r="N489" t="s">
        <v>570</v>
      </c>
      <c r="O489" t="s">
        <v>269</v>
      </c>
      <c r="P489" t="s">
        <v>13</v>
      </c>
      <c r="Q489" t="s">
        <v>568</v>
      </c>
      <c r="R489" s="14">
        <v>0.40689655172413802</v>
      </c>
    </row>
    <row r="490" spans="1:18" hidden="1" x14ac:dyDescent="0.3">
      <c r="A490" t="s">
        <v>1065</v>
      </c>
      <c r="B490" s="1">
        <v>46045</v>
      </c>
      <c r="C490" t="s">
        <v>1234</v>
      </c>
      <c r="D490" t="s">
        <v>57</v>
      </c>
      <c r="E490" t="s">
        <v>350</v>
      </c>
      <c r="F490" s="2" t="s">
        <v>351</v>
      </c>
      <c r="G490" t="s">
        <v>352</v>
      </c>
      <c r="H490">
        <v>1</v>
      </c>
      <c r="I490">
        <v>900</v>
      </c>
      <c r="J490">
        <v>20</v>
      </c>
      <c r="K490">
        <v>880</v>
      </c>
      <c r="L490">
        <v>540</v>
      </c>
      <c r="M490">
        <v>340</v>
      </c>
      <c r="N490" t="s">
        <v>567</v>
      </c>
      <c r="O490" t="s">
        <v>269</v>
      </c>
      <c r="P490" t="s">
        <v>18</v>
      </c>
      <c r="Q490" t="s">
        <v>568</v>
      </c>
      <c r="R490" s="14">
        <v>0.38636363636363602</v>
      </c>
    </row>
    <row r="491" spans="1:18" hidden="1" x14ac:dyDescent="0.3">
      <c r="A491" t="s">
        <v>1066</v>
      </c>
      <c r="B491" s="1">
        <v>46054</v>
      </c>
      <c r="C491" t="s">
        <v>1235</v>
      </c>
      <c r="D491" t="s">
        <v>117</v>
      </c>
      <c r="E491" t="s">
        <v>400</v>
      </c>
      <c r="F491" s="2" t="s">
        <v>401</v>
      </c>
      <c r="G491" t="s">
        <v>384</v>
      </c>
      <c r="H491">
        <v>2</v>
      </c>
      <c r="I491">
        <v>950</v>
      </c>
      <c r="J491">
        <v>0</v>
      </c>
      <c r="K491">
        <v>1900</v>
      </c>
      <c r="L491">
        <v>1140</v>
      </c>
      <c r="M491">
        <v>760</v>
      </c>
      <c r="N491" t="s">
        <v>567</v>
      </c>
      <c r="O491" t="s">
        <v>266</v>
      </c>
      <c r="P491" t="s">
        <v>8</v>
      </c>
      <c r="Q491" t="s">
        <v>568</v>
      </c>
      <c r="R491" s="14">
        <v>0.4</v>
      </c>
    </row>
    <row r="492" spans="1:18" hidden="1" x14ac:dyDescent="0.3">
      <c r="A492" t="s">
        <v>1067</v>
      </c>
      <c r="B492" s="1">
        <v>46135</v>
      </c>
      <c r="C492" t="s">
        <v>1231</v>
      </c>
      <c r="D492" t="s">
        <v>177</v>
      </c>
      <c r="E492" t="s">
        <v>369</v>
      </c>
      <c r="F492" s="2" t="s">
        <v>370</v>
      </c>
      <c r="G492" t="s">
        <v>371</v>
      </c>
      <c r="H492">
        <v>1</v>
      </c>
      <c r="I492">
        <v>1450</v>
      </c>
      <c r="J492">
        <v>0</v>
      </c>
      <c r="K492">
        <v>1450</v>
      </c>
      <c r="L492">
        <v>900</v>
      </c>
      <c r="M492">
        <v>550</v>
      </c>
      <c r="N492" t="s">
        <v>567</v>
      </c>
      <c r="O492" t="s">
        <v>269</v>
      </c>
      <c r="P492" t="s">
        <v>8</v>
      </c>
      <c r="Q492" t="s">
        <v>574</v>
      </c>
      <c r="R492" s="14">
        <v>0.37931034482758602</v>
      </c>
    </row>
    <row r="493" spans="1:18" hidden="1" x14ac:dyDescent="0.3">
      <c r="A493" t="s">
        <v>1068</v>
      </c>
      <c r="B493" s="1">
        <v>46027</v>
      </c>
      <c r="C493" t="s">
        <v>1234</v>
      </c>
      <c r="D493" t="s">
        <v>91</v>
      </c>
      <c r="E493" t="s">
        <v>415</v>
      </c>
      <c r="F493" s="2" t="s">
        <v>416</v>
      </c>
      <c r="G493" t="s">
        <v>347</v>
      </c>
      <c r="H493">
        <v>1</v>
      </c>
      <c r="I493">
        <v>1250</v>
      </c>
      <c r="J493">
        <v>20</v>
      </c>
      <c r="K493">
        <v>1230</v>
      </c>
      <c r="L493">
        <v>760</v>
      </c>
      <c r="M493">
        <v>470</v>
      </c>
      <c r="N493" t="s">
        <v>573</v>
      </c>
      <c r="O493" t="s">
        <v>266</v>
      </c>
      <c r="P493" t="s">
        <v>18</v>
      </c>
      <c r="Q493" t="s">
        <v>574</v>
      </c>
      <c r="R493" s="14">
        <v>0.38211382113821102</v>
      </c>
    </row>
    <row r="494" spans="1:18" hidden="1" x14ac:dyDescent="0.3">
      <c r="A494" t="s">
        <v>1069</v>
      </c>
      <c r="B494" s="1">
        <v>46051</v>
      </c>
      <c r="C494" t="s">
        <v>1234</v>
      </c>
      <c r="D494" t="s">
        <v>229</v>
      </c>
      <c r="E494" t="s">
        <v>396</v>
      </c>
      <c r="F494" s="2" t="s">
        <v>397</v>
      </c>
      <c r="G494" t="s">
        <v>376</v>
      </c>
      <c r="H494">
        <v>1</v>
      </c>
      <c r="I494">
        <v>600</v>
      </c>
      <c r="J494">
        <v>50</v>
      </c>
      <c r="K494">
        <v>550</v>
      </c>
      <c r="L494">
        <v>350</v>
      </c>
      <c r="M494">
        <v>200</v>
      </c>
      <c r="N494" t="s">
        <v>567</v>
      </c>
      <c r="O494" t="s">
        <v>269</v>
      </c>
      <c r="P494" t="s">
        <v>13</v>
      </c>
      <c r="Q494" t="s">
        <v>585</v>
      </c>
      <c r="R494" s="14">
        <v>0.36363636363636398</v>
      </c>
    </row>
    <row r="495" spans="1:18" hidden="1" x14ac:dyDescent="0.3">
      <c r="A495" t="s">
        <v>1070</v>
      </c>
      <c r="B495" s="1">
        <v>46167</v>
      </c>
      <c r="C495" t="s">
        <v>1237</v>
      </c>
      <c r="D495" t="s">
        <v>245</v>
      </c>
      <c r="E495" t="s">
        <v>355</v>
      </c>
      <c r="F495" s="2" t="s">
        <v>356</v>
      </c>
      <c r="G495" t="s">
        <v>343</v>
      </c>
      <c r="H495">
        <v>1</v>
      </c>
      <c r="I495">
        <v>550</v>
      </c>
      <c r="J495">
        <v>0</v>
      </c>
      <c r="K495">
        <v>550</v>
      </c>
      <c r="L495">
        <v>300</v>
      </c>
      <c r="M495">
        <v>250</v>
      </c>
      <c r="N495" t="s">
        <v>567</v>
      </c>
      <c r="O495" t="s">
        <v>266</v>
      </c>
      <c r="P495" t="s">
        <v>13</v>
      </c>
      <c r="Q495" t="s">
        <v>585</v>
      </c>
      <c r="R495" s="14">
        <v>0.45454545454545398</v>
      </c>
    </row>
    <row r="496" spans="1:18" hidden="1" x14ac:dyDescent="0.3">
      <c r="A496" t="s">
        <v>1071</v>
      </c>
      <c r="B496" s="1">
        <v>46180</v>
      </c>
      <c r="C496" t="s">
        <v>1233</v>
      </c>
      <c r="D496" t="s">
        <v>169</v>
      </c>
      <c r="E496" t="s">
        <v>345</v>
      </c>
      <c r="F496" s="2" t="s">
        <v>346</v>
      </c>
      <c r="G496" t="s">
        <v>347</v>
      </c>
      <c r="H496">
        <v>1</v>
      </c>
      <c r="I496">
        <v>700</v>
      </c>
      <c r="J496">
        <v>20</v>
      </c>
      <c r="K496">
        <v>680</v>
      </c>
      <c r="L496">
        <v>410</v>
      </c>
      <c r="M496">
        <v>270</v>
      </c>
      <c r="N496" t="s">
        <v>570</v>
      </c>
      <c r="O496" t="s">
        <v>266</v>
      </c>
      <c r="P496" t="s">
        <v>8</v>
      </c>
      <c r="Q496" t="s">
        <v>585</v>
      </c>
      <c r="R496" s="14">
        <v>0.39705882352941202</v>
      </c>
    </row>
    <row r="497" spans="1:18" hidden="1" x14ac:dyDescent="0.3">
      <c r="A497" t="s">
        <v>1072</v>
      </c>
      <c r="B497" s="1">
        <v>46186</v>
      </c>
      <c r="C497" t="s">
        <v>1233</v>
      </c>
      <c r="D497" t="s">
        <v>75</v>
      </c>
      <c r="E497" t="s">
        <v>369</v>
      </c>
      <c r="F497" s="2" t="s">
        <v>370</v>
      </c>
      <c r="G497" t="s">
        <v>371</v>
      </c>
      <c r="H497">
        <v>1</v>
      </c>
      <c r="I497">
        <v>1450</v>
      </c>
      <c r="J497">
        <v>0</v>
      </c>
      <c r="K497">
        <v>1450</v>
      </c>
      <c r="L497">
        <v>900</v>
      </c>
      <c r="M497">
        <v>550</v>
      </c>
      <c r="N497" t="s">
        <v>573</v>
      </c>
      <c r="O497" t="s">
        <v>266</v>
      </c>
      <c r="P497" t="s">
        <v>18</v>
      </c>
      <c r="Q497" t="s">
        <v>568</v>
      </c>
      <c r="R497" s="14">
        <v>0.37931034482758602</v>
      </c>
    </row>
    <row r="498" spans="1:18" x14ac:dyDescent="0.3">
      <c r="A498" t="s">
        <v>1073</v>
      </c>
      <c r="B498" s="1">
        <v>46140</v>
      </c>
      <c r="C498" t="s">
        <v>1231</v>
      </c>
      <c r="D498" t="s">
        <v>37</v>
      </c>
      <c r="E498" t="s">
        <v>360</v>
      </c>
      <c r="F498" s="2" t="s">
        <v>361</v>
      </c>
      <c r="G498" t="s">
        <v>362</v>
      </c>
      <c r="H498">
        <v>1</v>
      </c>
      <c r="I498">
        <v>1100</v>
      </c>
      <c r="J498">
        <v>0</v>
      </c>
      <c r="K498">
        <v>1100</v>
      </c>
      <c r="L498">
        <v>680</v>
      </c>
      <c r="M498">
        <v>420</v>
      </c>
      <c r="N498" t="s">
        <v>576</v>
      </c>
      <c r="O498" t="s">
        <v>266</v>
      </c>
      <c r="P498" t="s">
        <v>18</v>
      </c>
      <c r="Q498" t="s">
        <v>574</v>
      </c>
      <c r="R498" s="14">
        <v>0.381818181818182</v>
      </c>
    </row>
    <row r="499" spans="1:18" hidden="1" x14ac:dyDescent="0.3">
      <c r="A499" t="s">
        <v>1074</v>
      </c>
      <c r="B499" s="1">
        <v>46217</v>
      </c>
      <c r="C499" t="s">
        <v>1232</v>
      </c>
      <c r="D499" t="s">
        <v>155</v>
      </c>
      <c r="E499" t="s">
        <v>374</v>
      </c>
      <c r="F499" s="2" t="s">
        <v>375</v>
      </c>
      <c r="G499" t="s">
        <v>376</v>
      </c>
      <c r="H499">
        <v>2</v>
      </c>
      <c r="I499">
        <v>800</v>
      </c>
      <c r="J499">
        <v>75</v>
      </c>
      <c r="K499">
        <v>1525</v>
      </c>
      <c r="L499">
        <v>940</v>
      </c>
      <c r="M499">
        <v>585</v>
      </c>
      <c r="N499" t="s">
        <v>579</v>
      </c>
      <c r="O499" t="s">
        <v>269</v>
      </c>
      <c r="P499" t="s">
        <v>13</v>
      </c>
      <c r="Q499" t="s">
        <v>574</v>
      </c>
      <c r="R499" s="14">
        <v>0.38360655737704902</v>
      </c>
    </row>
    <row r="500" spans="1:18" hidden="1" x14ac:dyDescent="0.3">
      <c r="A500" t="s">
        <v>1075</v>
      </c>
      <c r="B500" s="1">
        <v>46115</v>
      </c>
      <c r="C500" t="s">
        <v>1231</v>
      </c>
      <c r="D500" t="s">
        <v>103</v>
      </c>
      <c r="E500" t="s">
        <v>415</v>
      </c>
      <c r="F500" s="2" t="s">
        <v>416</v>
      </c>
      <c r="G500" t="s">
        <v>347</v>
      </c>
      <c r="H500">
        <v>1</v>
      </c>
      <c r="I500">
        <v>1250</v>
      </c>
      <c r="J500">
        <v>20</v>
      </c>
      <c r="K500">
        <v>1230</v>
      </c>
      <c r="L500">
        <v>760</v>
      </c>
      <c r="M500">
        <v>470</v>
      </c>
      <c r="N500" t="s">
        <v>567</v>
      </c>
      <c r="O500" t="s">
        <v>266</v>
      </c>
      <c r="P500" t="s">
        <v>13</v>
      </c>
      <c r="Q500" t="s">
        <v>574</v>
      </c>
      <c r="R500" s="14">
        <v>0.38211382113821102</v>
      </c>
    </row>
    <row r="501" spans="1:18" hidden="1" x14ac:dyDescent="0.3">
      <c r="A501" t="s">
        <v>1076</v>
      </c>
      <c r="B501" s="1">
        <v>46048</v>
      </c>
      <c r="C501" t="s">
        <v>1234</v>
      </c>
      <c r="D501" t="s">
        <v>41</v>
      </c>
      <c r="E501" t="s">
        <v>366</v>
      </c>
      <c r="F501" s="2" t="s">
        <v>367</v>
      </c>
      <c r="G501" t="s">
        <v>352</v>
      </c>
      <c r="H501">
        <v>1</v>
      </c>
      <c r="I501">
        <v>1500</v>
      </c>
      <c r="J501">
        <v>0</v>
      </c>
      <c r="K501">
        <v>1500</v>
      </c>
      <c r="L501">
        <v>920</v>
      </c>
      <c r="M501">
        <v>580</v>
      </c>
      <c r="N501" t="s">
        <v>567</v>
      </c>
      <c r="O501" t="s">
        <v>269</v>
      </c>
      <c r="P501" t="s">
        <v>8</v>
      </c>
      <c r="Q501" t="s">
        <v>585</v>
      </c>
      <c r="R501" s="14">
        <v>0.38666666666666699</v>
      </c>
    </row>
    <row r="502" spans="1:18" x14ac:dyDescent="0.3">
      <c r="A502" t="s">
        <v>1077</v>
      </c>
      <c r="B502" s="1">
        <v>46215</v>
      </c>
      <c r="C502" t="s">
        <v>1232</v>
      </c>
      <c r="D502" t="s">
        <v>233</v>
      </c>
      <c r="E502" t="s">
        <v>360</v>
      </c>
      <c r="F502" s="2" t="s">
        <v>361</v>
      </c>
      <c r="G502" t="s">
        <v>362</v>
      </c>
      <c r="H502">
        <v>2</v>
      </c>
      <c r="I502">
        <v>1100</v>
      </c>
      <c r="J502">
        <v>100</v>
      </c>
      <c r="K502">
        <v>2100</v>
      </c>
      <c r="L502">
        <v>1360</v>
      </c>
      <c r="M502">
        <v>740</v>
      </c>
      <c r="N502" t="s">
        <v>573</v>
      </c>
      <c r="O502" t="s">
        <v>269</v>
      </c>
      <c r="P502" t="s">
        <v>13</v>
      </c>
      <c r="Q502" t="s">
        <v>574</v>
      </c>
      <c r="R502" s="14">
        <v>0.35238095238095202</v>
      </c>
    </row>
    <row r="503" spans="1:18" hidden="1" x14ac:dyDescent="0.3">
      <c r="A503" t="s">
        <v>1078</v>
      </c>
      <c r="B503" s="1">
        <v>46182</v>
      </c>
      <c r="C503" t="s">
        <v>1233</v>
      </c>
      <c r="D503" t="s">
        <v>59</v>
      </c>
      <c r="E503" t="s">
        <v>415</v>
      </c>
      <c r="F503" s="2" t="s">
        <v>416</v>
      </c>
      <c r="G503" t="s">
        <v>347</v>
      </c>
      <c r="H503">
        <v>2</v>
      </c>
      <c r="I503">
        <v>1250</v>
      </c>
      <c r="J503">
        <v>50</v>
      </c>
      <c r="K503">
        <v>2450</v>
      </c>
      <c r="L503">
        <v>1520</v>
      </c>
      <c r="M503">
        <v>930</v>
      </c>
      <c r="N503" t="s">
        <v>576</v>
      </c>
      <c r="O503" t="s">
        <v>266</v>
      </c>
      <c r="P503" t="s">
        <v>13</v>
      </c>
      <c r="Q503" t="s">
        <v>585</v>
      </c>
      <c r="R503" s="14">
        <v>0.37959183673469399</v>
      </c>
    </row>
    <row r="504" spans="1:18" hidden="1" x14ac:dyDescent="0.3">
      <c r="A504" t="s">
        <v>1079</v>
      </c>
      <c r="B504" s="1">
        <v>46108</v>
      </c>
      <c r="C504" t="s">
        <v>1230</v>
      </c>
      <c r="D504" t="s">
        <v>167</v>
      </c>
      <c r="E504" t="s">
        <v>382</v>
      </c>
      <c r="F504" s="2" t="s">
        <v>383</v>
      </c>
      <c r="G504" t="s">
        <v>384</v>
      </c>
      <c r="H504">
        <v>1</v>
      </c>
      <c r="I504">
        <v>1200</v>
      </c>
      <c r="J504">
        <v>75</v>
      </c>
      <c r="K504">
        <v>1125</v>
      </c>
      <c r="L504">
        <v>730</v>
      </c>
      <c r="M504">
        <v>395</v>
      </c>
      <c r="N504" t="s">
        <v>573</v>
      </c>
      <c r="O504" t="s">
        <v>269</v>
      </c>
      <c r="P504" t="s">
        <v>18</v>
      </c>
      <c r="Q504" t="s">
        <v>568</v>
      </c>
      <c r="R504" s="14">
        <v>0.35111111111111099</v>
      </c>
    </row>
    <row r="505" spans="1:18" x14ac:dyDescent="0.3">
      <c r="A505" t="s">
        <v>1080</v>
      </c>
      <c r="B505" s="1">
        <v>46216</v>
      </c>
      <c r="C505" t="s">
        <v>1232</v>
      </c>
      <c r="D505" t="s">
        <v>89</v>
      </c>
      <c r="E505" t="s">
        <v>360</v>
      </c>
      <c r="F505" s="2" t="s">
        <v>361</v>
      </c>
      <c r="G505" t="s">
        <v>362</v>
      </c>
      <c r="H505">
        <v>1</v>
      </c>
      <c r="I505">
        <v>1100</v>
      </c>
      <c r="J505">
        <v>0</v>
      </c>
      <c r="K505">
        <v>1100</v>
      </c>
      <c r="L505">
        <v>680</v>
      </c>
      <c r="M505">
        <v>420</v>
      </c>
      <c r="N505" t="s">
        <v>567</v>
      </c>
      <c r="O505" t="s">
        <v>269</v>
      </c>
      <c r="P505" t="s">
        <v>18</v>
      </c>
      <c r="Q505" t="s">
        <v>568</v>
      </c>
      <c r="R505" s="14">
        <v>0.381818181818182</v>
      </c>
    </row>
    <row r="506" spans="1:18" hidden="1" x14ac:dyDescent="0.3">
      <c r="A506" t="s">
        <v>1081</v>
      </c>
      <c r="B506" s="1">
        <v>46201</v>
      </c>
      <c r="C506" t="s">
        <v>1233</v>
      </c>
      <c r="D506" t="s">
        <v>103</v>
      </c>
      <c r="E506" t="s">
        <v>396</v>
      </c>
      <c r="F506" s="2" t="s">
        <v>397</v>
      </c>
      <c r="G506" t="s">
        <v>376</v>
      </c>
      <c r="H506">
        <v>1</v>
      </c>
      <c r="I506">
        <v>600</v>
      </c>
      <c r="J506">
        <v>75</v>
      </c>
      <c r="K506">
        <v>525</v>
      </c>
      <c r="L506">
        <v>350</v>
      </c>
      <c r="M506">
        <v>175</v>
      </c>
      <c r="N506" t="s">
        <v>579</v>
      </c>
      <c r="O506" t="s">
        <v>266</v>
      </c>
      <c r="P506" t="s">
        <v>8</v>
      </c>
      <c r="Q506" t="s">
        <v>574</v>
      </c>
      <c r="R506" s="14">
        <v>0.33333333333333298</v>
      </c>
    </row>
    <row r="507" spans="1:18" hidden="1" x14ac:dyDescent="0.3">
      <c r="A507" t="s">
        <v>1082</v>
      </c>
      <c r="B507" s="1">
        <v>46242</v>
      </c>
      <c r="C507" t="s">
        <v>1236</v>
      </c>
      <c r="D507" t="s">
        <v>239</v>
      </c>
      <c r="E507" t="s">
        <v>374</v>
      </c>
      <c r="F507" s="2" t="s">
        <v>375</v>
      </c>
      <c r="G507" t="s">
        <v>376</v>
      </c>
      <c r="H507">
        <v>1</v>
      </c>
      <c r="I507">
        <v>800</v>
      </c>
      <c r="J507">
        <v>100</v>
      </c>
      <c r="K507">
        <v>700</v>
      </c>
      <c r="L507">
        <v>470</v>
      </c>
      <c r="M507">
        <v>230</v>
      </c>
      <c r="N507" t="s">
        <v>573</v>
      </c>
      <c r="O507" t="s">
        <v>269</v>
      </c>
      <c r="P507" t="s">
        <v>13</v>
      </c>
      <c r="Q507" t="s">
        <v>574</v>
      </c>
      <c r="R507" s="14">
        <v>0.32857142857142901</v>
      </c>
    </row>
    <row r="508" spans="1:18" hidden="1" x14ac:dyDescent="0.3">
      <c r="A508" t="s">
        <v>1083</v>
      </c>
      <c r="B508" s="1">
        <v>46214</v>
      </c>
      <c r="C508" t="s">
        <v>1232</v>
      </c>
      <c r="D508" t="s">
        <v>193</v>
      </c>
      <c r="E508" t="s">
        <v>366</v>
      </c>
      <c r="F508" s="2" t="s">
        <v>367</v>
      </c>
      <c r="G508" t="s">
        <v>352</v>
      </c>
      <c r="H508">
        <v>2</v>
      </c>
      <c r="I508">
        <v>1500</v>
      </c>
      <c r="J508">
        <v>20</v>
      </c>
      <c r="K508">
        <v>2980</v>
      </c>
      <c r="L508">
        <v>1840</v>
      </c>
      <c r="M508">
        <v>1140</v>
      </c>
      <c r="N508" t="s">
        <v>570</v>
      </c>
      <c r="O508" t="s">
        <v>266</v>
      </c>
      <c r="P508" t="s">
        <v>13</v>
      </c>
      <c r="Q508" t="s">
        <v>568</v>
      </c>
      <c r="R508" s="14">
        <v>0.38255033557047002</v>
      </c>
    </row>
    <row r="509" spans="1:18" hidden="1" x14ac:dyDescent="0.3">
      <c r="A509" t="s">
        <v>1084</v>
      </c>
      <c r="B509" s="1">
        <v>46081</v>
      </c>
      <c r="C509" t="s">
        <v>1235</v>
      </c>
      <c r="D509" t="s">
        <v>117</v>
      </c>
      <c r="E509" t="s">
        <v>415</v>
      </c>
      <c r="F509" s="2" t="s">
        <v>416</v>
      </c>
      <c r="G509" t="s">
        <v>347</v>
      </c>
      <c r="H509">
        <v>1</v>
      </c>
      <c r="I509">
        <v>1250</v>
      </c>
      <c r="J509">
        <v>20</v>
      </c>
      <c r="K509">
        <v>1230</v>
      </c>
      <c r="L509">
        <v>760</v>
      </c>
      <c r="M509">
        <v>470</v>
      </c>
      <c r="N509" t="s">
        <v>576</v>
      </c>
      <c r="O509" t="s">
        <v>269</v>
      </c>
      <c r="P509" t="s">
        <v>18</v>
      </c>
      <c r="Q509" t="s">
        <v>574</v>
      </c>
      <c r="R509" s="14">
        <v>0.38211382113821102</v>
      </c>
    </row>
    <row r="510" spans="1:18" hidden="1" x14ac:dyDescent="0.3">
      <c r="A510" t="s">
        <v>1085</v>
      </c>
      <c r="B510" s="1">
        <v>46152</v>
      </c>
      <c r="C510" t="s">
        <v>1237</v>
      </c>
      <c r="D510" t="s">
        <v>131</v>
      </c>
      <c r="E510" t="s">
        <v>393</v>
      </c>
      <c r="F510" s="2" t="s">
        <v>394</v>
      </c>
      <c r="G510" t="s">
        <v>371</v>
      </c>
      <c r="H510">
        <v>3</v>
      </c>
      <c r="I510">
        <v>1150</v>
      </c>
      <c r="J510">
        <v>20</v>
      </c>
      <c r="K510">
        <v>3430</v>
      </c>
      <c r="L510">
        <v>2100</v>
      </c>
      <c r="M510">
        <v>1330</v>
      </c>
      <c r="N510" t="s">
        <v>573</v>
      </c>
      <c r="O510" t="s">
        <v>269</v>
      </c>
      <c r="P510" t="s">
        <v>18</v>
      </c>
      <c r="Q510" t="s">
        <v>585</v>
      </c>
      <c r="R510" s="14">
        <v>0.38775510204081598</v>
      </c>
    </row>
    <row r="511" spans="1:18" hidden="1" x14ac:dyDescent="0.3">
      <c r="A511" t="s">
        <v>1086</v>
      </c>
      <c r="B511" s="1">
        <v>46186</v>
      </c>
      <c r="C511" t="s">
        <v>1233</v>
      </c>
      <c r="D511" t="s">
        <v>23</v>
      </c>
      <c r="E511" t="s">
        <v>366</v>
      </c>
      <c r="F511" s="2" t="s">
        <v>367</v>
      </c>
      <c r="G511" t="s">
        <v>352</v>
      </c>
      <c r="H511">
        <v>1</v>
      </c>
      <c r="I511">
        <v>1500</v>
      </c>
      <c r="J511">
        <v>0</v>
      </c>
      <c r="K511">
        <v>1500</v>
      </c>
      <c r="L511">
        <v>920</v>
      </c>
      <c r="M511">
        <v>580</v>
      </c>
      <c r="N511" t="s">
        <v>573</v>
      </c>
      <c r="O511" t="s">
        <v>266</v>
      </c>
      <c r="P511" t="s">
        <v>8</v>
      </c>
      <c r="Q511" t="s">
        <v>585</v>
      </c>
      <c r="R511" s="14">
        <v>0.38666666666666699</v>
      </c>
    </row>
    <row r="512" spans="1:18" hidden="1" x14ac:dyDescent="0.3">
      <c r="A512" t="s">
        <v>1087</v>
      </c>
      <c r="B512" s="1">
        <v>46231</v>
      </c>
      <c r="C512" t="s">
        <v>1232</v>
      </c>
      <c r="D512" t="s">
        <v>205</v>
      </c>
      <c r="E512" t="s">
        <v>366</v>
      </c>
      <c r="F512" s="2" t="s">
        <v>367</v>
      </c>
      <c r="G512" t="s">
        <v>352</v>
      </c>
      <c r="H512">
        <v>1</v>
      </c>
      <c r="I512">
        <v>1500</v>
      </c>
      <c r="J512">
        <v>50</v>
      </c>
      <c r="K512">
        <v>1450</v>
      </c>
      <c r="L512">
        <v>920</v>
      </c>
      <c r="M512">
        <v>530</v>
      </c>
      <c r="N512" t="s">
        <v>567</v>
      </c>
      <c r="O512" t="s">
        <v>269</v>
      </c>
      <c r="P512" t="s">
        <v>13</v>
      </c>
      <c r="Q512" t="s">
        <v>568</v>
      </c>
      <c r="R512" s="14">
        <v>0.36551724137931002</v>
      </c>
    </row>
    <row r="513" spans="1:18" hidden="1" x14ac:dyDescent="0.3">
      <c r="A513" t="s">
        <v>1088</v>
      </c>
      <c r="B513" s="1">
        <v>46179</v>
      </c>
      <c r="C513" t="s">
        <v>1233</v>
      </c>
      <c r="D513" t="s">
        <v>123</v>
      </c>
      <c r="E513" t="s">
        <v>350</v>
      </c>
      <c r="F513" s="2" t="s">
        <v>351</v>
      </c>
      <c r="G513" t="s">
        <v>352</v>
      </c>
      <c r="H513">
        <v>1</v>
      </c>
      <c r="I513">
        <v>900</v>
      </c>
      <c r="J513">
        <v>75</v>
      </c>
      <c r="K513">
        <v>825</v>
      </c>
      <c r="L513">
        <v>540</v>
      </c>
      <c r="M513">
        <v>285</v>
      </c>
      <c r="N513" t="s">
        <v>573</v>
      </c>
      <c r="O513" t="s">
        <v>266</v>
      </c>
      <c r="P513" t="s">
        <v>18</v>
      </c>
      <c r="Q513" t="s">
        <v>574</v>
      </c>
      <c r="R513" s="14">
        <v>0.34545454545454501</v>
      </c>
    </row>
    <row r="514" spans="1:18" hidden="1" x14ac:dyDescent="0.3">
      <c r="A514" t="s">
        <v>1089</v>
      </c>
      <c r="B514" s="1">
        <v>46251</v>
      </c>
      <c r="C514" t="s">
        <v>1236</v>
      </c>
      <c r="D514" t="s">
        <v>241</v>
      </c>
      <c r="E514" t="s">
        <v>341</v>
      </c>
      <c r="F514" s="2" t="s">
        <v>342</v>
      </c>
      <c r="G514" t="s">
        <v>343</v>
      </c>
      <c r="H514">
        <v>2</v>
      </c>
      <c r="I514">
        <v>750</v>
      </c>
      <c r="J514">
        <v>75</v>
      </c>
      <c r="K514">
        <v>1425</v>
      </c>
      <c r="L514">
        <v>860</v>
      </c>
      <c r="M514">
        <v>565</v>
      </c>
      <c r="N514" t="s">
        <v>579</v>
      </c>
      <c r="O514" t="s">
        <v>266</v>
      </c>
      <c r="P514" t="s">
        <v>8</v>
      </c>
      <c r="Q514" t="s">
        <v>568</v>
      </c>
      <c r="R514" s="14">
        <v>0.39649122807017501</v>
      </c>
    </row>
    <row r="515" spans="1:18" hidden="1" x14ac:dyDescent="0.3">
      <c r="A515" t="s">
        <v>1090</v>
      </c>
      <c r="B515" s="1">
        <v>46081</v>
      </c>
      <c r="C515" t="s">
        <v>1235</v>
      </c>
      <c r="D515" t="s">
        <v>121</v>
      </c>
      <c r="E515" t="s">
        <v>393</v>
      </c>
      <c r="F515" s="2" t="s">
        <v>394</v>
      </c>
      <c r="G515" t="s">
        <v>371</v>
      </c>
      <c r="H515">
        <v>1</v>
      </c>
      <c r="I515">
        <v>1150</v>
      </c>
      <c r="J515">
        <v>0</v>
      </c>
      <c r="K515">
        <v>1150</v>
      </c>
      <c r="L515">
        <v>700</v>
      </c>
      <c r="M515">
        <v>450</v>
      </c>
      <c r="N515" t="s">
        <v>567</v>
      </c>
      <c r="O515" t="s">
        <v>269</v>
      </c>
      <c r="P515" t="s">
        <v>8</v>
      </c>
      <c r="Q515" t="s">
        <v>568</v>
      </c>
      <c r="R515" s="14">
        <v>0.39130434782608697</v>
      </c>
    </row>
    <row r="516" spans="1:18" hidden="1" x14ac:dyDescent="0.3">
      <c r="A516" t="s">
        <v>1091</v>
      </c>
      <c r="B516" s="1">
        <v>46102</v>
      </c>
      <c r="C516" t="s">
        <v>1230</v>
      </c>
      <c r="D516" t="s">
        <v>169</v>
      </c>
      <c r="E516" t="s">
        <v>350</v>
      </c>
      <c r="F516" s="2" t="s">
        <v>351</v>
      </c>
      <c r="G516" t="s">
        <v>352</v>
      </c>
      <c r="H516">
        <v>2</v>
      </c>
      <c r="I516">
        <v>900</v>
      </c>
      <c r="J516">
        <v>50</v>
      </c>
      <c r="K516">
        <v>1750</v>
      </c>
      <c r="L516">
        <v>1080</v>
      </c>
      <c r="M516">
        <v>670</v>
      </c>
      <c r="N516" t="s">
        <v>579</v>
      </c>
      <c r="O516" t="s">
        <v>266</v>
      </c>
      <c r="P516" t="s">
        <v>8</v>
      </c>
      <c r="Q516" t="s">
        <v>568</v>
      </c>
      <c r="R516" s="14">
        <v>0.38285714285714301</v>
      </c>
    </row>
    <row r="517" spans="1:18" hidden="1" x14ac:dyDescent="0.3">
      <c r="A517" t="s">
        <v>1092</v>
      </c>
      <c r="B517" s="1">
        <v>46135</v>
      </c>
      <c r="C517" t="s">
        <v>1231</v>
      </c>
      <c r="D517" t="s">
        <v>131</v>
      </c>
      <c r="E517" t="s">
        <v>369</v>
      </c>
      <c r="F517" s="2" t="s">
        <v>370</v>
      </c>
      <c r="G517" t="s">
        <v>371</v>
      </c>
      <c r="H517">
        <v>1</v>
      </c>
      <c r="I517">
        <v>1450</v>
      </c>
      <c r="J517">
        <v>100</v>
      </c>
      <c r="K517">
        <v>1350</v>
      </c>
      <c r="L517">
        <v>900</v>
      </c>
      <c r="M517">
        <v>450</v>
      </c>
      <c r="N517" t="s">
        <v>573</v>
      </c>
      <c r="O517" t="s">
        <v>269</v>
      </c>
      <c r="P517" t="s">
        <v>18</v>
      </c>
      <c r="Q517" t="s">
        <v>585</v>
      </c>
      <c r="R517" s="14">
        <v>0.33333333333333298</v>
      </c>
    </row>
    <row r="518" spans="1:18" hidden="1" x14ac:dyDescent="0.3">
      <c r="A518" t="s">
        <v>1093</v>
      </c>
      <c r="B518" s="1">
        <v>46246</v>
      </c>
      <c r="C518" t="s">
        <v>1236</v>
      </c>
      <c r="D518" t="s">
        <v>63</v>
      </c>
      <c r="E518" t="s">
        <v>396</v>
      </c>
      <c r="F518" s="2" t="s">
        <v>397</v>
      </c>
      <c r="G518" t="s">
        <v>376</v>
      </c>
      <c r="H518">
        <v>1</v>
      </c>
      <c r="I518">
        <v>600</v>
      </c>
      <c r="J518">
        <v>20</v>
      </c>
      <c r="K518">
        <v>580</v>
      </c>
      <c r="L518">
        <v>350</v>
      </c>
      <c r="M518">
        <v>230</v>
      </c>
      <c r="N518" t="s">
        <v>567</v>
      </c>
      <c r="O518" t="s">
        <v>266</v>
      </c>
      <c r="P518" t="s">
        <v>8</v>
      </c>
      <c r="Q518" t="s">
        <v>568</v>
      </c>
      <c r="R518" s="14">
        <v>0.39655172413793099</v>
      </c>
    </row>
    <row r="519" spans="1:18" hidden="1" x14ac:dyDescent="0.3">
      <c r="A519" t="s">
        <v>1094</v>
      </c>
      <c r="B519" s="1">
        <v>46203</v>
      </c>
      <c r="C519" t="s">
        <v>1233</v>
      </c>
      <c r="D519" t="s">
        <v>165</v>
      </c>
      <c r="E519" t="s">
        <v>355</v>
      </c>
      <c r="F519" s="2" t="s">
        <v>356</v>
      </c>
      <c r="G519" t="s">
        <v>343</v>
      </c>
      <c r="H519">
        <v>2</v>
      </c>
      <c r="I519">
        <v>550</v>
      </c>
      <c r="J519">
        <v>0</v>
      </c>
      <c r="K519">
        <v>1100</v>
      </c>
      <c r="L519">
        <v>600</v>
      </c>
      <c r="M519">
        <v>500</v>
      </c>
      <c r="N519" t="s">
        <v>576</v>
      </c>
      <c r="O519" t="s">
        <v>266</v>
      </c>
      <c r="P519" t="s">
        <v>18</v>
      </c>
      <c r="Q519" t="s">
        <v>571</v>
      </c>
      <c r="R519" s="14">
        <v>0.45454545454545398</v>
      </c>
    </row>
    <row r="520" spans="1:18" hidden="1" x14ac:dyDescent="0.3">
      <c r="A520" t="s">
        <v>1095</v>
      </c>
      <c r="B520" s="1">
        <v>46226</v>
      </c>
      <c r="C520" t="s">
        <v>1232</v>
      </c>
      <c r="D520" t="s">
        <v>73</v>
      </c>
      <c r="E520" t="s">
        <v>400</v>
      </c>
      <c r="F520" s="2" t="s">
        <v>401</v>
      </c>
      <c r="G520" t="s">
        <v>384</v>
      </c>
      <c r="H520">
        <v>1</v>
      </c>
      <c r="I520">
        <v>950</v>
      </c>
      <c r="J520">
        <v>50</v>
      </c>
      <c r="K520">
        <v>900</v>
      </c>
      <c r="L520">
        <v>570</v>
      </c>
      <c r="M520">
        <v>330</v>
      </c>
      <c r="N520" t="s">
        <v>576</v>
      </c>
      <c r="O520" t="s">
        <v>266</v>
      </c>
      <c r="P520" t="s">
        <v>13</v>
      </c>
      <c r="Q520" t="s">
        <v>574</v>
      </c>
      <c r="R520" s="14">
        <v>0.36666666666666697</v>
      </c>
    </row>
    <row r="521" spans="1:18" x14ac:dyDescent="0.3">
      <c r="A521" t="s">
        <v>1096</v>
      </c>
      <c r="B521" s="1">
        <v>46185</v>
      </c>
      <c r="C521" t="s">
        <v>1233</v>
      </c>
      <c r="D521" t="s">
        <v>165</v>
      </c>
      <c r="E521" t="s">
        <v>419</v>
      </c>
      <c r="F521" s="2" t="s">
        <v>420</v>
      </c>
      <c r="G521" t="s">
        <v>362</v>
      </c>
      <c r="H521">
        <v>1</v>
      </c>
      <c r="I521">
        <v>1350</v>
      </c>
      <c r="J521">
        <v>75</v>
      </c>
      <c r="K521">
        <v>1275</v>
      </c>
      <c r="L521">
        <v>850</v>
      </c>
      <c r="M521">
        <v>425</v>
      </c>
      <c r="N521" t="s">
        <v>567</v>
      </c>
      <c r="O521" t="s">
        <v>266</v>
      </c>
      <c r="P521" t="s">
        <v>8</v>
      </c>
      <c r="Q521" t="s">
        <v>574</v>
      </c>
      <c r="R521" s="14">
        <v>0.33333333333333298</v>
      </c>
    </row>
    <row r="522" spans="1:18" x14ac:dyDescent="0.3">
      <c r="A522" t="s">
        <v>1097</v>
      </c>
      <c r="B522" s="1">
        <v>46254</v>
      </c>
      <c r="C522" t="s">
        <v>1236</v>
      </c>
      <c r="D522" t="s">
        <v>65</v>
      </c>
      <c r="E522" t="s">
        <v>419</v>
      </c>
      <c r="F522" s="2" t="s">
        <v>420</v>
      </c>
      <c r="G522" t="s">
        <v>362</v>
      </c>
      <c r="H522">
        <v>1</v>
      </c>
      <c r="I522">
        <v>1350</v>
      </c>
      <c r="J522">
        <v>0</v>
      </c>
      <c r="K522">
        <v>1350</v>
      </c>
      <c r="L522">
        <v>850</v>
      </c>
      <c r="M522">
        <v>500</v>
      </c>
      <c r="N522" t="s">
        <v>567</v>
      </c>
      <c r="O522" t="s">
        <v>266</v>
      </c>
      <c r="P522" t="s">
        <v>8</v>
      </c>
      <c r="Q522" t="s">
        <v>585</v>
      </c>
      <c r="R522" s="14">
        <v>0.37037037037037002</v>
      </c>
    </row>
    <row r="523" spans="1:18" hidden="1" x14ac:dyDescent="0.3">
      <c r="A523" t="s">
        <v>1098</v>
      </c>
      <c r="B523" s="1">
        <v>46060</v>
      </c>
      <c r="C523" t="s">
        <v>1235</v>
      </c>
      <c r="D523" t="s">
        <v>103</v>
      </c>
      <c r="E523" t="s">
        <v>393</v>
      </c>
      <c r="F523" s="2" t="s">
        <v>394</v>
      </c>
      <c r="G523" t="s">
        <v>371</v>
      </c>
      <c r="H523">
        <v>2</v>
      </c>
      <c r="I523">
        <v>1150</v>
      </c>
      <c r="J523">
        <v>50</v>
      </c>
      <c r="K523">
        <v>2250</v>
      </c>
      <c r="L523">
        <v>1400</v>
      </c>
      <c r="M523">
        <v>850</v>
      </c>
      <c r="N523" t="s">
        <v>570</v>
      </c>
      <c r="O523" t="s">
        <v>266</v>
      </c>
      <c r="P523" t="s">
        <v>18</v>
      </c>
      <c r="Q523" t="s">
        <v>585</v>
      </c>
      <c r="R523" s="14">
        <v>0.37777777777777799</v>
      </c>
    </row>
    <row r="524" spans="1:18" hidden="1" x14ac:dyDescent="0.3">
      <c r="A524" t="s">
        <v>1099</v>
      </c>
      <c r="B524" s="1">
        <v>46131</v>
      </c>
      <c r="C524" t="s">
        <v>1231</v>
      </c>
      <c r="D524" t="s">
        <v>189</v>
      </c>
      <c r="E524" t="s">
        <v>393</v>
      </c>
      <c r="F524" s="2" t="s">
        <v>394</v>
      </c>
      <c r="G524" t="s">
        <v>371</v>
      </c>
      <c r="H524">
        <v>2</v>
      </c>
      <c r="I524">
        <v>1150</v>
      </c>
      <c r="J524">
        <v>75</v>
      </c>
      <c r="K524">
        <v>2225</v>
      </c>
      <c r="L524">
        <v>1400</v>
      </c>
      <c r="M524">
        <v>825</v>
      </c>
      <c r="N524" t="s">
        <v>570</v>
      </c>
      <c r="O524" t="s">
        <v>269</v>
      </c>
      <c r="P524" t="s">
        <v>18</v>
      </c>
      <c r="Q524" t="s">
        <v>568</v>
      </c>
      <c r="R524" s="14">
        <v>0.37078651685393299</v>
      </c>
    </row>
    <row r="525" spans="1:18" hidden="1" x14ac:dyDescent="0.3">
      <c r="A525" t="s">
        <v>1100</v>
      </c>
      <c r="B525" s="1">
        <v>46209</v>
      </c>
      <c r="C525" t="s">
        <v>1232</v>
      </c>
      <c r="D525" t="s">
        <v>49</v>
      </c>
      <c r="E525" t="s">
        <v>366</v>
      </c>
      <c r="F525" s="2" t="s">
        <v>367</v>
      </c>
      <c r="G525" t="s">
        <v>352</v>
      </c>
      <c r="H525">
        <v>1</v>
      </c>
      <c r="I525">
        <v>1500</v>
      </c>
      <c r="J525">
        <v>0</v>
      </c>
      <c r="K525">
        <v>1500</v>
      </c>
      <c r="L525">
        <v>920</v>
      </c>
      <c r="M525">
        <v>580</v>
      </c>
      <c r="N525" t="s">
        <v>570</v>
      </c>
      <c r="O525" t="s">
        <v>266</v>
      </c>
      <c r="P525" t="s">
        <v>18</v>
      </c>
      <c r="Q525" t="s">
        <v>568</v>
      </c>
      <c r="R525" s="14">
        <v>0.38666666666666699</v>
      </c>
    </row>
    <row r="526" spans="1:18" hidden="1" x14ac:dyDescent="0.3">
      <c r="A526" t="s">
        <v>1101</v>
      </c>
      <c r="B526" s="1">
        <v>46188</v>
      </c>
      <c r="C526" t="s">
        <v>1233</v>
      </c>
      <c r="D526" t="s">
        <v>69</v>
      </c>
      <c r="E526" t="s">
        <v>350</v>
      </c>
      <c r="F526" s="2" t="s">
        <v>351</v>
      </c>
      <c r="G526" t="s">
        <v>352</v>
      </c>
      <c r="H526">
        <v>2</v>
      </c>
      <c r="I526">
        <v>900</v>
      </c>
      <c r="J526">
        <v>0</v>
      </c>
      <c r="K526">
        <v>1800</v>
      </c>
      <c r="L526">
        <v>1080</v>
      </c>
      <c r="M526">
        <v>720</v>
      </c>
      <c r="N526" t="s">
        <v>579</v>
      </c>
      <c r="O526" t="s">
        <v>269</v>
      </c>
      <c r="P526" t="s">
        <v>18</v>
      </c>
      <c r="Q526" t="s">
        <v>585</v>
      </c>
      <c r="R526" s="14">
        <v>0.4</v>
      </c>
    </row>
    <row r="527" spans="1:18" hidden="1" x14ac:dyDescent="0.3">
      <c r="A527" t="s">
        <v>1102</v>
      </c>
      <c r="B527" s="1">
        <v>46219</v>
      </c>
      <c r="C527" t="s">
        <v>1232</v>
      </c>
      <c r="D527" t="s">
        <v>177</v>
      </c>
      <c r="E527" t="s">
        <v>393</v>
      </c>
      <c r="F527" s="2" t="s">
        <v>394</v>
      </c>
      <c r="G527" t="s">
        <v>371</v>
      </c>
      <c r="H527">
        <v>1</v>
      </c>
      <c r="I527">
        <v>1150</v>
      </c>
      <c r="J527">
        <v>100</v>
      </c>
      <c r="K527">
        <v>1050</v>
      </c>
      <c r="L527">
        <v>700</v>
      </c>
      <c r="M527">
        <v>350</v>
      </c>
      <c r="N527" t="s">
        <v>567</v>
      </c>
      <c r="O527" t="s">
        <v>266</v>
      </c>
      <c r="P527" t="s">
        <v>18</v>
      </c>
      <c r="Q527" t="s">
        <v>574</v>
      </c>
      <c r="R527" s="14">
        <v>0.33333333333333298</v>
      </c>
    </row>
    <row r="528" spans="1:18" hidden="1" x14ac:dyDescent="0.3">
      <c r="A528" t="s">
        <v>1103</v>
      </c>
      <c r="B528" s="1">
        <v>46216</v>
      </c>
      <c r="C528" t="s">
        <v>1232</v>
      </c>
      <c r="D528" t="s">
        <v>155</v>
      </c>
      <c r="E528" t="s">
        <v>366</v>
      </c>
      <c r="F528" s="2" t="s">
        <v>367</v>
      </c>
      <c r="G528" t="s">
        <v>352</v>
      </c>
      <c r="H528">
        <v>2</v>
      </c>
      <c r="I528">
        <v>1500</v>
      </c>
      <c r="J528">
        <v>50</v>
      </c>
      <c r="K528">
        <v>2950</v>
      </c>
      <c r="L528">
        <v>1840</v>
      </c>
      <c r="M528">
        <v>1110</v>
      </c>
      <c r="N528" t="s">
        <v>567</v>
      </c>
      <c r="O528" t="s">
        <v>269</v>
      </c>
      <c r="P528" t="s">
        <v>13</v>
      </c>
      <c r="Q528" t="s">
        <v>568</v>
      </c>
      <c r="R528" s="14">
        <v>0.37627118644067797</v>
      </c>
    </row>
    <row r="529" spans="1:18" hidden="1" x14ac:dyDescent="0.3">
      <c r="A529" t="s">
        <v>1104</v>
      </c>
      <c r="B529" s="1">
        <v>46248</v>
      </c>
      <c r="C529" t="s">
        <v>1236</v>
      </c>
      <c r="D529" t="s">
        <v>117</v>
      </c>
      <c r="E529" t="s">
        <v>415</v>
      </c>
      <c r="F529" s="2" t="s">
        <v>416</v>
      </c>
      <c r="G529" t="s">
        <v>347</v>
      </c>
      <c r="H529">
        <v>3</v>
      </c>
      <c r="I529">
        <v>1250</v>
      </c>
      <c r="J529">
        <v>20</v>
      </c>
      <c r="K529">
        <v>3730</v>
      </c>
      <c r="L529">
        <v>2280</v>
      </c>
      <c r="M529">
        <v>1450</v>
      </c>
      <c r="N529" t="s">
        <v>576</v>
      </c>
      <c r="O529" t="s">
        <v>269</v>
      </c>
      <c r="P529" t="s">
        <v>18</v>
      </c>
      <c r="Q529" t="s">
        <v>568</v>
      </c>
      <c r="R529" s="14">
        <v>0.38873994638069698</v>
      </c>
    </row>
    <row r="530" spans="1:18" hidden="1" x14ac:dyDescent="0.3">
      <c r="A530" t="s">
        <v>1105</v>
      </c>
      <c r="B530" s="1">
        <v>46135</v>
      </c>
      <c r="C530" t="s">
        <v>1231</v>
      </c>
      <c r="D530" t="s">
        <v>91</v>
      </c>
      <c r="E530" t="s">
        <v>415</v>
      </c>
      <c r="F530" s="2" t="s">
        <v>416</v>
      </c>
      <c r="G530" t="s">
        <v>347</v>
      </c>
      <c r="H530">
        <v>1</v>
      </c>
      <c r="I530">
        <v>1250</v>
      </c>
      <c r="J530">
        <v>20</v>
      </c>
      <c r="K530">
        <v>1230</v>
      </c>
      <c r="L530">
        <v>760</v>
      </c>
      <c r="M530">
        <v>470</v>
      </c>
      <c r="N530" t="s">
        <v>576</v>
      </c>
      <c r="O530" t="s">
        <v>266</v>
      </c>
      <c r="P530" t="s">
        <v>13</v>
      </c>
      <c r="Q530" t="s">
        <v>574</v>
      </c>
      <c r="R530" s="14">
        <v>0.38211382113821102</v>
      </c>
    </row>
    <row r="531" spans="1:18" hidden="1" x14ac:dyDescent="0.3">
      <c r="A531" t="s">
        <v>1106</v>
      </c>
      <c r="B531" s="1">
        <v>46204</v>
      </c>
      <c r="C531" t="s">
        <v>1232</v>
      </c>
      <c r="D531" t="s">
        <v>171</v>
      </c>
      <c r="E531" t="s">
        <v>393</v>
      </c>
      <c r="F531" s="2" t="s">
        <v>394</v>
      </c>
      <c r="G531" t="s">
        <v>371</v>
      </c>
      <c r="H531">
        <v>2</v>
      </c>
      <c r="I531">
        <v>1150</v>
      </c>
      <c r="J531">
        <v>20</v>
      </c>
      <c r="K531">
        <v>2280</v>
      </c>
      <c r="L531">
        <v>1400</v>
      </c>
      <c r="M531">
        <v>880</v>
      </c>
      <c r="N531" t="s">
        <v>570</v>
      </c>
      <c r="O531" t="s">
        <v>269</v>
      </c>
      <c r="P531" t="s">
        <v>13</v>
      </c>
      <c r="Q531" t="s">
        <v>568</v>
      </c>
      <c r="R531" s="14">
        <v>0.38596491228070201</v>
      </c>
    </row>
    <row r="532" spans="1:18" hidden="1" x14ac:dyDescent="0.3">
      <c r="A532" t="s">
        <v>1107</v>
      </c>
      <c r="B532" s="1">
        <v>46224</v>
      </c>
      <c r="C532" t="s">
        <v>1232</v>
      </c>
      <c r="D532" t="s">
        <v>51</v>
      </c>
      <c r="E532" t="s">
        <v>393</v>
      </c>
      <c r="F532" s="2" t="s">
        <v>394</v>
      </c>
      <c r="G532" t="s">
        <v>371</v>
      </c>
      <c r="H532">
        <v>2</v>
      </c>
      <c r="I532">
        <v>1150</v>
      </c>
      <c r="J532">
        <v>50</v>
      </c>
      <c r="K532">
        <v>2250</v>
      </c>
      <c r="L532">
        <v>1400</v>
      </c>
      <c r="M532">
        <v>850</v>
      </c>
      <c r="N532" t="s">
        <v>570</v>
      </c>
      <c r="O532" t="s">
        <v>269</v>
      </c>
      <c r="P532" t="s">
        <v>18</v>
      </c>
      <c r="Q532" t="s">
        <v>574</v>
      </c>
      <c r="R532" s="14">
        <v>0.37777777777777799</v>
      </c>
    </row>
    <row r="533" spans="1:18" hidden="1" x14ac:dyDescent="0.3">
      <c r="A533" t="s">
        <v>1108</v>
      </c>
      <c r="B533" s="1">
        <v>46264</v>
      </c>
      <c r="C533" t="s">
        <v>1236</v>
      </c>
      <c r="D533" t="s">
        <v>101</v>
      </c>
      <c r="E533" t="s">
        <v>374</v>
      </c>
      <c r="F533" s="2" t="s">
        <v>375</v>
      </c>
      <c r="G533" t="s">
        <v>376</v>
      </c>
      <c r="H533">
        <v>1</v>
      </c>
      <c r="I533">
        <v>800</v>
      </c>
      <c r="J533">
        <v>0</v>
      </c>
      <c r="K533">
        <v>800</v>
      </c>
      <c r="L533">
        <v>470</v>
      </c>
      <c r="M533">
        <v>330</v>
      </c>
      <c r="N533" t="s">
        <v>573</v>
      </c>
      <c r="O533" t="s">
        <v>269</v>
      </c>
      <c r="P533" t="s">
        <v>8</v>
      </c>
      <c r="Q533" t="s">
        <v>568</v>
      </c>
      <c r="R533" s="14">
        <v>0.41249999999999998</v>
      </c>
    </row>
    <row r="534" spans="1:18" hidden="1" x14ac:dyDescent="0.3">
      <c r="A534" t="s">
        <v>1109</v>
      </c>
      <c r="B534" s="1">
        <v>46081</v>
      </c>
      <c r="C534" t="s">
        <v>1235</v>
      </c>
      <c r="D534" t="s">
        <v>93</v>
      </c>
      <c r="E534" t="s">
        <v>355</v>
      </c>
      <c r="F534" s="2" t="s">
        <v>356</v>
      </c>
      <c r="G534" t="s">
        <v>343</v>
      </c>
      <c r="H534">
        <v>2</v>
      </c>
      <c r="I534">
        <v>550</v>
      </c>
      <c r="J534">
        <v>0</v>
      </c>
      <c r="K534">
        <v>1100</v>
      </c>
      <c r="L534">
        <v>600</v>
      </c>
      <c r="M534">
        <v>500</v>
      </c>
      <c r="N534" t="s">
        <v>576</v>
      </c>
      <c r="O534" t="s">
        <v>266</v>
      </c>
      <c r="P534" t="s">
        <v>8</v>
      </c>
      <c r="Q534" t="s">
        <v>574</v>
      </c>
      <c r="R534" s="14">
        <v>0.45454545454545398</v>
      </c>
    </row>
    <row r="535" spans="1:18" x14ac:dyDescent="0.3">
      <c r="A535" t="s">
        <v>1110</v>
      </c>
      <c r="B535" s="1">
        <v>46116</v>
      </c>
      <c r="C535" t="s">
        <v>1231</v>
      </c>
      <c r="D535" t="s">
        <v>33</v>
      </c>
      <c r="E535" t="s">
        <v>419</v>
      </c>
      <c r="F535" s="2" t="s">
        <v>420</v>
      </c>
      <c r="G535" t="s">
        <v>362</v>
      </c>
      <c r="H535">
        <v>1</v>
      </c>
      <c r="I535">
        <v>1350</v>
      </c>
      <c r="J535">
        <v>20</v>
      </c>
      <c r="K535">
        <v>1330</v>
      </c>
      <c r="L535">
        <v>850</v>
      </c>
      <c r="M535">
        <v>480</v>
      </c>
      <c r="N535" t="s">
        <v>567</v>
      </c>
      <c r="O535" t="s">
        <v>266</v>
      </c>
      <c r="P535" t="s">
        <v>13</v>
      </c>
      <c r="Q535" t="s">
        <v>585</v>
      </c>
      <c r="R535" s="14">
        <v>0.360902255639098</v>
      </c>
    </row>
    <row r="536" spans="1:18" hidden="1" x14ac:dyDescent="0.3">
      <c r="A536" t="s">
        <v>1111</v>
      </c>
      <c r="B536" s="1">
        <v>46222</v>
      </c>
      <c r="C536" t="s">
        <v>1232</v>
      </c>
      <c r="D536" t="s">
        <v>223</v>
      </c>
      <c r="E536" t="s">
        <v>345</v>
      </c>
      <c r="F536" s="2" t="s">
        <v>346</v>
      </c>
      <c r="G536" t="s">
        <v>347</v>
      </c>
      <c r="H536">
        <v>3</v>
      </c>
      <c r="I536">
        <v>700</v>
      </c>
      <c r="J536">
        <v>20</v>
      </c>
      <c r="K536">
        <v>2080</v>
      </c>
      <c r="L536">
        <v>1230</v>
      </c>
      <c r="M536">
        <v>850</v>
      </c>
      <c r="N536" t="s">
        <v>570</v>
      </c>
      <c r="O536" t="s">
        <v>266</v>
      </c>
      <c r="P536" t="s">
        <v>13</v>
      </c>
      <c r="Q536" t="s">
        <v>568</v>
      </c>
      <c r="R536" s="14">
        <v>0.40865384615384598</v>
      </c>
    </row>
    <row r="537" spans="1:18" hidden="1" x14ac:dyDescent="0.3">
      <c r="A537" t="s">
        <v>1112</v>
      </c>
      <c r="B537" s="1">
        <v>46205</v>
      </c>
      <c r="C537" t="s">
        <v>1232</v>
      </c>
      <c r="D537" t="s">
        <v>39</v>
      </c>
      <c r="E537" t="s">
        <v>396</v>
      </c>
      <c r="F537" s="2" t="s">
        <v>397</v>
      </c>
      <c r="G537" t="s">
        <v>376</v>
      </c>
      <c r="H537">
        <v>3</v>
      </c>
      <c r="I537">
        <v>600</v>
      </c>
      <c r="J537">
        <v>50</v>
      </c>
      <c r="K537">
        <v>1750</v>
      </c>
      <c r="L537">
        <v>1050</v>
      </c>
      <c r="M537">
        <v>700</v>
      </c>
      <c r="N537" t="s">
        <v>570</v>
      </c>
      <c r="O537" t="s">
        <v>269</v>
      </c>
      <c r="P537" t="s">
        <v>13</v>
      </c>
      <c r="Q537" t="s">
        <v>571</v>
      </c>
      <c r="R537" s="14">
        <v>0.4</v>
      </c>
    </row>
    <row r="538" spans="1:18" hidden="1" x14ac:dyDescent="0.3">
      <c r="A538" t="s">
        <v>1113</v>
      </c>
      <c r="B538" s="1">
        <v>46110</v>
      </c>
      <c r="C538" t="s">
        <v>1230</v>
      </c>
      <c r="D538" t="s">
        <v>153</v>
      </c>
      <c r="E538" t="s">
        <v>400</v>
      </c>
      <c r="F538" s="2" t="s">
        <v>401</v>
      </c>
      <c r="G538" t="s">
        <v>384</v>
      </c>
      <c r="H538">
        <v>1</v>
      </c>
      <c r="I538">
        <v>950</v>
      </c>
      <c r="J538">
        <v>50</v>
      </c>
      <c r="K538">
        <v>900</v>
      </c>
      <c r="L538">
        <v>570</v>
      </c>
      <c r="M538">
        <v>330</v>
      </c>
      <c r="N538" t="s">
        <v>570</v>
      </c>
      <c r="O538" t="s">
        <v>269</v>
      </c>
      <c r="P538" t="s">
        <v>13</v>
      </c>
      <c r="Q538" t="s">
        <v>585</v>
      </c>
      <c r="R538" s="14">
        <v>0.36666666666666697</v>
      </c>
    </row>
    <row r="539" spans="1:18" hidden="1" x14ac:dyDescent="0.3">
      <c r="A539" t="s">
        <v>1114</v>
      </c>
      <c r="B539" s="1">
        <v>46229</v>
      </c>
      <c r="C539" t="s">
        <v>1232</v>
      </c>
      <c r="D539" t="s">
        <v>197</v>
      </c>
      <c r="E539" t="s">
        <v>374</v>
      </c>
      <c r="F539" s="2" t="s">
        <v>375</v>
      </c>
      <c r="G539" t="s">
        <v>376</v>
      </c>
      <c r="H539">
        <v>2</v>
      </c>
      <c r="I539">
        <v>800</v>
      </c>
      <c r="J539">
        <v>50</v>
      </c>
      <c r="K539">
        <v>1550</v>
      </c>
      <c r="L539">
        <v>940</v>
      </c>
      <c r="M539">
        <v>610</v>
      </c>
      <c r="N539" t="s">
        <v>567</v>
      </c>
      <c r="O539" t="s">
        <v>266</v>
      </c>
      <c r="P539" t="s">
        <v>8</v>
      </c>
      <c r="Q539" t="s">
        <v>568</v>
      </c>
      <c r="R539" s="14">
        <v>0.39354838709677398</v>
      </c>
    </row>
    <row r="540" spans="1:18" x14ac:dyDescent="0.3">
      <c r="A540" t="s">
        <v>1115</v>
      </c>
      <c r="B540" s="1">
        <v>46039</v>
      </c>
      <c r="C540" t="s">
        <v>1234</v>
      </c>
      <c r="D540" t="s">
        <v>135</v>
      </c>
      <c r="E540" t="s">
        <v>360</v>
      </c>
      <c r="F540" s="2" t="s">
        <v>361</v>
      </c>
      <c r="G540" t="s">
        <v>362</v>
      </c>
      <c r="H540">
        <v>1</v>
      </c>
      <c r="I540">
        <v>1100</v>
      </c>
      <c r="J540">
        <v>20</v>
      </c>
      <c r="K540">
        <v>1080</v>
      </c>
      <c r="L540">
        <v>680</v>
      </c>
      <c r="M540">
        <v>400</v>
      </c>
      <c r="N540" t="s">
        <v>579</v>
      </c>
      <c r="O540" t="s">
        <v>266</v>
      </c>
      <c r="P540" t="s">
        <v>13</v>
      </c>
      <c r="Q540" t="s">
        <v>568</v>
      </c>
      <c r="R540" s="14">
        <v>0.37037037037037002</v>
      </c>
    </row>
    <row r="541" spans="1:18" hidden="1" x14ac:dyDescent="0.3">
      <c r="A541" t="s">
        <v>1116</v>
      </c>
      <c r="B541" s="1">
        <v>46080</v>
      </c>
      <c r="C541" t="s">
        <v>1235</v>
      </c>
      <c r="D541" t="s">
        <v>75</v>
      </c>
      <c r="E541" t="s">
        <v>393</v>
      </c>
      <c r="F541" s="2" t="s">
        <v>394</v>
      </c>
      <c r="G541" t="s">
        <v>371</v>
      </c>
      <c r="H541">
        <v>2</v>
      </c>
      <c r="I541">
        <v>1150</v>
      </c>
      <c r="J541">
        <v>20</v>
      </c>
      <c r="K541">
        <v>2280</v>
      </c>
      <c r="L541">
        <v>1400</v>
      </c>
      <c r="M541">
        <v>880</v>
      </c>
      <c r="N541" t="s">
        <v>570</v>
      </c>
      <c r="O541" t="s">
        <v>266</v>
      </c>
      <c r="P541" t="s">
        <v>8</v>
      </c>
      <c r="Q541" t="s">
        <v>568</v>
      </c>
      <c r="R541" s="14">
        <v>0.38596491228070201</v>
      </c>
    </row>
    <row r="542" spans="1:18" hidden="1" x14ac:dyDescent="0.3">
      <c r="A542" t="s">
        <v>1117</v>
      </c>
      <c r="B542" s="1">
        <v>46106</v>
      </c>
      <c r="C542" t="s">
        <v>1230</v>
      </c>
      <c r="D542" t="s">
        <v>11</v>
      </c>
      <c r="E542" t="s">
        <v>369</v>
      </c>
      <c r="F542" s="2" t="s">
        <v>370</v>
      </c>
      <c r="G542" t="s">
        <v>371</v>
      </c>
      <c r="H542">
        <v>1</v>
      </c>
      <c r="I542">
        <v>1450</v>
      </c>
      <c r="J542">
        <v>20</v>
      </c>
      <c r="K542">
        <v>1430</v>
      </c>
      <c r="L542">
        <v>900</v>
      </c>
      <c r="M542">
        <v>530</v>
      </c>
      <c r="N542" t="s">
        <v>567</v>
      </c>
      <c r="O542" t="s">
        <v>266</v>
      </c>
      <c r="P542" t="s">
        <v>13</v>
      </c>
      <c r="Q542" t="s">
        <v>571</v>
      </c>
      <c r="R542" s="14">
        <v>0.37062937062937101</v>
      </c>
    </row>
    <row r="543" spans="1:18" hidden="1" x14ac:dyDescent="0.3">
      <c r="A543" t="s">
        <v>1118</v>
      </c>
      <c r="B543" s="1">
        <v>46161</v>
      </c>
      <c r="C543" t="s">
        <v>1237</v>
      </c>
      <c r="D543" t="s">
        <v>227</v>
      </c>
      <c r="E543" t="s">
        <v>400</v>
      </c>
      <c r="F543" s="2" t="s">
        <v>401</v>
      </c>
      <c r="G543" t="s">
        <v>384</v>
      </c>
      <c r="H543">
        <v>1</v>
      </c>
      <c r="I543">
        <v>950</v>
      </c>
      <c r="J543">
        <v>0</v>
      </c>
      <c r="K543">
        <v>950</v>
      </c>
      <c r="L543">
        <v>570</v>
      </c>
      <c r="M543">
        <v>380</v>
      </c>
      <c r="N543" t="s">
        <v>567</v>
      </c>
      <c r="O543" t="s">
        <v>266</v>
      </c>
      <c r="P543" t="s">
        <v>8</v>
      </c>
      <c r="Q543" t="s">
        <v>568</v>
      </c>
      <c r="R543" s="14">
        <v>0.4</v>
      </c>
    </row>
    <row r="544" spans="1:18" hidden="1" x14ac:dyDescent="0.3">
      <c r="A544" t="s">
        <v>1119</v>
      </c>
      <c r="B544" s="1">
        <v>46058</v>
      </c>
      <c r="C544" t="s">
        <v>1235</v>
      </c>
      <c r="D544" t="s">
        <v>209</v>
      </c>
      <c r="E544" t="s">
        <v>387</v>
      </c>
      <c r="F544" s="2" t="s">
        <v>388</v>
      </c>
      <c r="G544" t="s">
        <v>347</v>
      </c>
      <c r="H544">
        <v>1</v>
      </c>
      <c r="I544">
        <v>850</v>
      </c>
      <c r="J544">
        <v>0</v>
      </c>
      <c r="K544">
        <v>850</v>
      </c>
      <c r="L544">
        <v>520</v>
      </c>
      <c r="M544">
        <v>330</v>
      </c>
      <c r="N544" t="s">
        <v>579</v>
      </c>
      <c r="O544" t="s">
        <v>266</v>
      </c>
      <c r="P544" t="s">
        <v>18</v>
      </c>
      <c r="Q544" t="s">
        <v>585</v>
      </c>
      <c r="R544" s="14">
        <v>0.38823529411764701</v>
      </c>
    </row>
    <row r="545" spans="1:18" x14ac:dyDescent="0.3">
      <c r="A545" t="s">
        <v>1120</v>
      </c>
      <c r="B545" s="1">
        <v>46237</v>
      </c>
      <c r="C545" t="s">
        <v>1236</v>
      </c>
      <c r="D545" t="s">
        <v>51</v>
      </c>
      <c r="E545" t="s">
        <v>419</v>
      </c>
      <c r="F545" s="2" t="s">
        <v>420</v>
      </c>
      <c r="G545" t="s">
        <v>362</v>
      </c>
      <c r="H545">
        <v>3</v>
      </c>
      <c r="I545">
        <v>1350</v>
      </c>
      <c r="J545">
        <v>0</v>
      </c>
      <c r="K545">
        <v>4050</v>
      </c>
      <c r="L545">
        <v>2550</v>
      </c>
      <c r="M545">
        <v>1500</v>
      </c>
      <c r="N545" t="s">
        <v>579</v>
      </c>
      <c r="O545" t="s">
        <v>269</v>
      </c>
      <c r="P545" t="s">
        <v>18</v>
      </c>
      <c r="Q545" t="s">
        <v>585</v>
      </c>
      <c r="R545" s="14">
        <v>0.37037037037037002</v>
      </c>
    </row>
    <row r="546" spans="1:18" hidden="1" x14ac:dyDescent="0.3">
      <c r="A546" t="s">
        <v>1121</v>
      </c>
      <c r="B546" s="1">
        <v>46252</v>
      </c>
      <c r="C546" t="s">
        <v>1236</v>
      </c>
      <c r="D546" t="s">
        <v>27</v>
      </c>
      <c r="E546" t="s">
        <v>396</v>
      </c>
      <c r="F546" s="2" t="s">
        <v>397</v>
      </c>
      <c r="G546" t="s">
        <v>376</v>
      </c>
      <c r="H546">
        <v>2</v>
      </c>
      <c r="I546">
        <v>600</v>
      </c>
      <c r="J546">
        <v>0</v>
      </c>
      <c r="K546">
        <v>1200</v>
      </c>
      <c r="L546">
        <v>700</v>
      </c>
      <c r="M546">
        <v>500</v>
      </c>
      <c r="N546" t="s">
        <v>570</v>
      </c>
      <c r="O546" t="s">
        <v>266</v>
      </c>
      <c r="P546" t="s">
        <v>8</v>
      </c>
      <c r="Q546" t="s">
        <v>585</v>
      </c>
      <c r="R546" s="14">
        <v>0.41666666666666702</v>
      </c>
    </row>
    <row r="547" spans="1:18" hidden="1" x14ac:dyDescent="0.3">
      <c r="A547" t="s">
        <v>1122</v>
      </c>
      <c r="B547" s="1">
        <v>46079</v>
      </c>
      <c r="C547" t="s">
        <v>1235</v>
      </c>
      <c r="D547" t="s">
        <v>117</v>
      </c>
      <c r="E547" t="s">
        <v>387</v>
      </c>
      <c r="F547" s="2" t="s">
        <v>388</v>
      </c>
      <c r="G547" t="s">
        <v>347</v>
      </c>
      <c r="H547">
        <v>1</v>
      </c>
      <c r="I547">
        <v>850</v>
      </c>
      <c r="J547">
        <v>0</v>
      </c>
      <c r="K547">
        <v>850</v>
      </c>
      <c r="L547">
        <v>520</v>
      </c>
      <c r="M547">
        <v>330</v>
      </c>
      <c r="N547" t="s">
        <v>579</v>
      </c>
      <c r="O547" t="s">
        <v>269</v>
      </c>
      <c r="P547" t="s">
        <v>8</v>
      </c>
      <c r="Q547" t="s">
        <v>574</v>
      </c>
      <c r="R547" s="14">
        <v>0.38823529411764701</v>
      </c>
    </row>
    <row r="548" spans="1:18" hidden="1" x14ac:dyDescent="0.3">
      <c r="A548" t="s">
        <v>1123</v>
      </c>
      <c r="B548" s="1">
        <v>46226</v>
      </c>
      <c r="C548" t="s">
        <v>1232</v>
      </c>
      <c r="D548" t="s">
        <v>87</v>
      </c>
      <c r="E548" t="s">
        <v>366</v>
      </c>
      <c r="F548" s="2" t="s">
        <v>367</v>
      </c>
      <c r="G548" t="s">
        <v>352</v>
      </c>
      <c r="H548">
        <v>1</v>
      </c>
      <c r="I548">
        <v>1500</v>
      </c>
      <c r="J548">
        <v>20</v>
      </c>
      <c r="K548">
        <v>1480</v>
      </c>
      <c r="L548">
        <v>920</v>
      </c>
      <c r="M548">
        <v>560</v>
      </c>
      <c r="N548" t="s">
        <v>573</v>
      </c>
      <c r="O548" t="s">
        <v>269</v>
      </c>
      <c r="P548" t="s">
        <v>8</v>
      </c>
      <c r="Q548" t="s">
        <v>568</v>
      </c>
      <c r="R548" s="14">
        <v>0.37837837837837801</v>
      </c>
    </row>
    <row r="549" spans="1:18" hidden="1" x14ac:dyDescent="0.3">
      <c r="A549" t="s">
        <v>1124</v>
      </c>
      <c r="B549" s="1">
        <v>46054</v>
      </c>
      <c r="C549" t="s">
        <v>1235</v>
      </c>
      <c r="D549" t="s">
        <v>25</v>
      </c>
      <c r="E549" t="s">
        <v>374</v>
      </c>
      <c r="F549" s="2" t="s">
        <v>375</v>
      </c>
      <c r="G549" t="s">
        <v>376</v>
      </c>
      <c r="H549">
        <v>1</v>
      </c>
      <c r="I549">
        <v>800</v>
      </c>
      <c r="J549">
        <v>20</v>
      </c>
      <c r="K549">
        <v>780</v>
      </c>
      <c r="L549">
        <v>470</v>
      </c>
      <c r="M549">
        <v>310</v>
      </c>
      <c r="N549" t="s">
        <v>576</v>
      </c>
      <c r="O549" t="s">
        <v>266</v>
      </c>
      <c r="P549" t="s">
        <v>18</v>
      </c>
      <c r="Q549" t="s">
        <v>574</v>
      </c>
      <c r="R549" s="14">
        <v>0.39743589743589702</v>
      </c>
    </row>
    <row r="550" spans="1:18" hidden="1" x14ac:dyDescent="0.3">
      <c r="A550" t="s">
        <v>1125</v>
      </c>
      <c r="B550" s="1">
        <v>46194</v>
      </c>
      <c r="C550" t="s">
        <v>1233</v>
      </c>
      <c r="D550" t="s">
        <v>83</v>
      </c>
      <c r="E550" t="s">
        <v>366</v>
      </c>
      <c r="F550" s="2" t="s">
        <v>367</v>
      </c>
      <c r="G550" t="s">
        <v>352</v>
      </c>
      <c r="H550">
        <v>2</v>
      </c>
      <c r="I550">
        <v>1500</v>
      </c>
      <c r="J550">
        <v>20</v>
      </c>
      <c r="K550">
        <v>2980</v>
      </c>
      <c r="L550">
        <v>1840</v>
      </c>
      <c r="M550">
        <v>1140</v>
      </c>
      <c r="N550" t="s">
        <v>570</v>
      </c>
      <c r="O550" t="s">
        <v>266</v>
      </c>
      <c r="P550" t="s">
        <v>18</v>
      </c>
      <c r="Q550" t="s">
        <v>568</v>
      </c>
      <c r="R550" s="14">
        <v>0.38255033557047002</v>
      </c>
    </row>
    <row r="551" spans="1:18" hidden="1" x14ac:dyDescent="0.3">
      <c r="A551" t="s">
        <v>1126</v>
      </c>
      <c r="B551" s="1">
        <v>46209</v>
      </c>
      <c r="C551" t="s">
        <v>1232</v>
      </c>
      <c r="D551" t="s">
        <v>185</v>
      </c>
      <c r="E551" t="s">
        <v>345</v>
      </c>
      <c r="F551" s="2" t="s">
        <v>346</v>
      </c>
      <c r="G551" t="s">
        <v>347</v>
      </c>
      <c r="H551">
        <v>1</v>
      </c>
      <c r="I551">
        <v>700</v>
      </c>
      <c r="J551">
        <v>50</v>
      </c>
      <c r="K551">
        <v>650</v>
      </c>
      <c r="L551">
        <v>410</v>
      </c>
      <c r="M551">
        <v>240</v>
      </c>
      <c r="N551" t="s">
        <v>567</v>
      </c>
      <c r="O551" t="s">
        <v>269</v>
      </c>
      <c r="P551" t="s">
        <v>13</v>
      </c>
      <c r="Q551" t="s">
        <v>585</v>
      </c>
      <c r="R551" s="14">
        <v>0.36923076923076897</v>
      </c>
    </row>
    <row r="552" spans="1:18" x14ac:dyDescent="0.3">
      <c r="A552" t="s">
        <v>1127</v>
      </c>
      <c r="B552" s="1">
        <v>46112</v>
      </c>
      <c r="C552" t="s">
        <v>1230</v>
      </c>
      <c r="D552" t="s">
        <v>35</v>
      </c>
      <c r="E552" t="s">
        <v>419</v>
      </c>
      <c r="F552" s="2" t="s">
        <v>420</v>
      </c>
      <c r="G552" t="s">
        <v>362</v>
      </c>
      <c r="H552">
        <v>2</v>
      </c>
      <c r="I552">
        <v>1350</v>
      </c>
      <c r="J552">
        <v>20</v>
      </c>
      <c r="K552">
        <v>2680</v>
      </c>
      <c r="L552">
        <v>1700</v>
      </c>
      <c r="M552">
        <v>980</v>
      </c>
      <c r="N552" t="s">
        <v>576</v>
      </c>
      <c r="O552" t="s">
        <v>266</v>
      </c>
      <c r="P552" t="s">
        <v>18</v>
      </c>
      <c r="Q552" t="s">
        <v>585</v>
      </c>
      <c r="R552" s="14">
        <v>0.365671641791045</v>
      </c>
    </row>
    <row r="553" spans="1:18" hidden="1" x14ac:dyDescent="0.3">
      <c r="A553" t="s">
        <v>1128</v>
      </c>
      <c r="B553" s="1">
        <v>46188</v>
      </c>
      <c r="C553" t="s">
        <v>1233</v>
      </c>
      <c r="D553" t="s">
        <v>247</v>
      </c>
      <c r="E553" t="s">
        <v>366</v>
      </c>
      <c r="F553" s="2" t="s">
        <v>367</v>
      </c>
      <c r="G553" t="s">
        <v>352</v>
      </c>
      <c r="H553">
        <v>2</v>
      </c>
      <c r="I553">
        <v>1500</v>
      </c>
      <c r="J553">
        <v>0</v>
      </c>
      <c r="K553">
        <v>3000</v>
      </c>
      <c r="L553">
        <v>1840</v>
      </c>
      <c r="M553">
        <v>1160</v>
      </c>
      <c r="N553" t="s">
        <v>576</v>
      </c>
      <c r="O553" t="s">
        <v>269</v>
      </c>
      <c r="P553" t="s">
        <v>8</v>
      </c>
      <c r="Q553" t="s">
        <v>585</v>
      </c>
      <c r="R553" s="14">
        <v>0.38666666666666699</v>
      </c>
    </row>
    <row r="554" spans="1:18" hidden="1" x14ac:dyDescent="0.3">
      <c r="A554" t="s">
        <v>1129</v>
      </c>
      <c r="B554" s="1">
        <v>46172</v>
      </c>
      <c r="C554" t="s">
        <v>1237</v>
      </c>
      <c r="D554" t="s">
        <v>199</v>
      </c>
      <c r="E554" t="s">
        <v>415</v>
      </c>
      <c r="F554" s="2" t="s">
        <v>416</v>
      </c>
      <c r="G554" t="s">
        <v>347</v>
      </c>
      <c r="H554">
        <v>1</v>
      </c>
      <c r="I554">
        <v>1250</v>
      </c>
      <c r="J554">
        <v>75</v>
      </c>
      <c r="K554">
        <v>1175</v>
      </c>
      <c r="L554">
        <v>760</v>
      </c>
      <c r="M554">
        <v>415</v>
      </c>
      <c r="N554" t="s">
        <v>567</v>
      </c>
      <c r="O554" t="s">
        <v>266</v>
      </c>
      <c r="P554" t="s">
        <v>18</v>
      </c>
      <c r="Q554" t="s">
        <v>574</v>
      </c>
      <c r="R554" s="14">
        <v>0.35319148936170203</v>
      </c>
    </row>
    <row r="555" spans="1:18" hidden="1" x14ac:dyDescent="0.3">
      <c r="A555" t="s">
        <v>1130</v>
      </c>
      <c r="B555" s="1">
        <v>46160</v>
      </c>
      <c r="C555" t="s">
        <v>1237</v>
      </c>
      <c r="D555" t="s">
        <v>11</v>
      </c>
      <c r="E555" t="s">
        <v>382</v>
      </c>
      <c r="F555" s="2" t="s">
        <v>383</v>
      </c>
      <c r="G555" t="s">
        <v>384</v>
      </c>
      <c r="H555">
        <v>2</v>
      </c>
      <c r="I555">
        <v>1200</v>
      </c>
      <c r="J555">
        <v>0</v>
      </c>
      <c r="K555">
        <v>2400</v>
      </c>
      <c r="L555">
        <v>1460</v>
      </c>
      <c r="M555">
        <v>940</v>
      </c>
      <c r="N555" t="s">
        <v>570</v>
      </c>
      <c r="O555" t="s">
        <v>266</v>
      </c>
      <c r="P555" t="s">
        <v>13</v>
      </c>
      <c r="Q555" t="s">
        <v>585</v>
      </c>
      <c r="R555" s="14">
        <v>0.391666666666667</v>
      </c>
    </row>
    <row r="556" spans="1:18" hidden="1" x14ac:dyDescent="0.3">
      <c r="A556" t="s">
        <v>1131</v>
      </c>
      <c r="B556" s="1">
        <v>46111</v>
      </c>
      <c r="C556" t="s">
        <v>1230</v>
      </c>
      <c r="D556" t="s">
        <v>89</v>
      </c>
      <c r="E556" t="s">
        <v>366</v>
      </c>
      <c r="F556" s="2" t="s">
        <v>367</v>
      </c>
      <c r="G556" t="s">
        <v>352</v>
      </c>
      <c r="H556">
        <v>2</v>
      </c>
      <c r="I556">
        <v>1500</v>
      </c>
      <c r="J556">
        <v>0</v>
      </c>
      <c r="K556">
        <v>3000</v>
      </c>
      <c r="L556">
        <v>1840</v>
      </c>
      <c r="M556">
        <v>1160</v>
      </c>
      <c r="N556" t="s">
        <v>567</v>
      </c>
      <c r="O556" t="s">
        <v>266</v>
      </c>
      <c r="P556" t="s">
        <v>18</v>
      </c>
      <c r="Q556" t="s">
        <v>574</v>
      </c>
      <c r="R556" s="14">
        <v>0.38666666666666699</v>
      </c>
    </row>
    <row r="557" spans="1:18" hidden="1" x14ac:dyDescent="0.3">
      <c r="A557" t="s">
        <v>1132</v>
      </c>
      <c r="B557" s="1">
        <v>46136</v>
      </c>
      <c r="C557" t="s">
        <v>1231</v>
      </c>
      <c r="D557" t="s">
        <v>105</v>
      </c>
      <c r="E557" t="s">
        <v>355</v>
      </c>
      <c r="F557" s="2" t="s">
        <v>356</v>
      </c>
      <c r="G557" t="s">
        <v>343</v>
      </c>
      <c r="H557">
        <v>1</v>
      </c>
      <c r="I557">
        <v>550</v>
      </c>
      <c r="J557">
        <v>75</v>
      </c>
      <c r="K557">
        <v>475</v>
      </c>
      <c r="L557">
        <v>300</v>
      </c>
      <c r="M557">
        <v>175</v>
      </c>
      <c r="N557" t="s">
        <v>576</v>
      </c>
      <c r="O557" t="s">
        <v>266</v>
      </c>
      <c r="P557" t="s">
        <v>13</v>
      </c>
      <c r="Q557" t="s">
        <v>568</v>
      </c>
      <c r="R557" s="14">
        <v>0.36842105263157898</v>
      </c>
    </row>
    <row r="558" spans="1:18" hidden="1" x14ac:dyDescent="0.3">
      <c r="A558" t="s">
        <v>1133</v>
      </c>
      <c r="B558" s="1">
        <v>46039</v>
      </c>
      <c r="C558" t="s">
        <v>1234</v>
      </c>
      <c r="D558" t="s">
        <v>55</v>
      </c>
      <c r="E558" t="s">
        <v>355</v>
      </c>
      <c r="F558" s="2" t="s">
        <v>356</v>
      </c>
      <c r="G558" t="s">
        <v>343</v>
      </c>
      <c r="H558">
        <v>1</v>
      </c>
      <c r="I558">
        <v>550</v>
      </c>
      <c r="J558">
        <v>20</v>
      </c>
      <c r="K558">
        <v>530</v>
      </c>
      <c r="L558">
        <v>300</v>
      </c>
      <c r="M558">
        <v>230</v>
      </c>
      <c r="N558" t="s">
        <v>579</v>
      </c>
      <c r="O558" t="s">
        <v>266</v>
      </c>
      <c r="P558" t="s">
        <v>8</v>
      </c>
      <c r="Q558" t="s">
        <v>585</v>
      </c>
      <c r="R558" s="14">
        <v>0.43396226415094302</v>
      </c>
    </row>
    <row r="559" spans="1:18" x14ac:dyDescent="0.3">
      <c r="A559" t="s">
        <v>1134</v>
      </c>
      <c r="B559" s="1">
        <v>46240</v>
      </c>
      <c r="C559" t="s">
        <v>1236</v>
      </c>
      <c r="D559" t="s">
        <v>229</v>
      </c>
      <c r="E559" t="s">
        <v>360</v>
      </c>
      <c r="F559" s="2" t="s">
        <v>361</v>
      </c>
      <c r="G559" t="s">
        <v>362</v>
      </c>
      <c r="H559">
        <v>1</v>
      </c>
      <c r="I559">
        <v>1100</v>
      </c>
      <c r="J559">
        <v>0</v>
      </c>
      <c r="K559">
        <v>1100</v>
      </c>
      <c r="L559">
        <v>680</v>
      </c>
      <c r="M559">
        <v>420</v>
      </c>
      <c r="N559" t="s">
        <v>570</v>
      </c>
      <c r="O559" t="s">
        <v>269</v>
      </c>
      <c r="P559" t="s">
        <v>18</v>
      </c>
      <c r="Q559" t="s">
        <v>568</v>
      </c>
      <c r="R559" s="14">
        <v>0.381818181818182</v>
      </c>
    </row>
    <row r="560" spans="1:18" hidden="1" x14ac:dyDescent="0.3">
      <c r="A560" t="s">
        <v>1135</v>
      </c>
      <c r="B560" s="1">
        <v>46024</v>
      </c>
      <c r="C560" t="s">
        <v>1234</v>
      </c>
      <c r="D560" t="s">
        <v>243</v>
      </c>
      <c r="E560" t="s">
        <v>350</v>
      </c>
      <c r="F560" s="2" t="s">
        <v>351</v>
      </c>
      <c r="G560" t="s">
        <v>352</v>
      </c>
      <c r="H560">
        <v>2</v>
      </c>
      <c r="I560">
        <v>900</v>
      </c>
      <c r="J560">
        <v>0</v>
      </c>
      <c r="K560">
        <v>1800</v>
      </c>
      <c r="L560">
        <v>1080</v>
      </c>
      <c r="M560">
        <v>720</v>
      </c>
      <c r="N560" t="s">
        <v>579</v>
      </c>
      <c r="O560" t="s">
        <v>269</v>
      </c>
      <c r="P560" t="s">
        <v>13</v>
      </c>
      <c r="Q560" t="s">
        <v>585</v>
      </c>
      <c r="R560" s="14">
        <v>0.4</v>
      </c>
    </row>
    <row r="561" spans="1:18" hidden="1" x14ac:dyDescent="0.3">
      <c r="A561" t="s">
        <v>1136</v>
      </c>
      <c r="B561" s="1">
        <v>46116</v>
      </c>
      <c r="C561" t="s">
        <v>1231</v>
      </c>
      <c r="D561" t="s">
        <v>171</v>
      </c>
      <c r="E561" t="s">
        <v>366</v>
      </c>
      <c r="F561" s="2" t="s">
        <v>367</v>
      </c>
      <c r="G561" t="s">
        <v>352</v>
      </c>
      <c r="H561">
        <v>2</v>
      </c>
      <c r="I561">
        <v>1500</v>
      </c>
      <c r="J561">
        <v>20</v>
      </c>
      <c r="K561">
        <v>2980</v>
      </c>
      <c r="L561">
        <v>1840</v>
      </c>
      <c r="M561">
        <v>1140</v>
      </c>
      <c r="N561" t="s">
        <v>567</v>
      </c>
      <c r="O561" t="s">
        <v>269</v>
      </c>
      <c r="P561" t="s">
        <v>13</v>
      </c>
      <c r="Q561" t="s">
        <v>585</v>
      </c>
      <c r="R561" s="14">
        <v>0.38255033557047002</v>
      </c>
    </row>
    <row r="562" spans="1:18" x14ac:dyDescent="0.3">
      <c r="A562" t="s">
        <v>1137</v>
      </c>
      <c r="B562" s="1">
        <v>46165</v>
      </c>
      <c r="C562" t="s">
        <v>1237</v>
      </c>
      <c r="D562" t="s">
        <v>153</v>
      </c>
      <c r="E562" t="s">
        <v>360</v>
      </c>
      <c r="F562" s="2" t="s">
        <v>361</v>
      </c>
      <c r="G562" t="s">
        <v>362</v>
      </c>
      <c r="H562">
        <v>2</v>
      </c>
      <c r="I562">
        <v>1100</v>
      </c>
      <c r="J562">
        <v>0</v>
      </c>
      <c r="K562">
        <v>2200</v>
      </c>
      <c r="L562">
        <v>1360</v>
      </c>
      <c r="M562">
        <v>840</v>
      </c>
      <c r="N562" t="s">
        <v>1138</v>
      </c>
      <c r="O562" t="s">
        <v>266</v>
      </c>
      <c r="P562" t="s">
        <v>18</v>
      </c>
      <c r="Q562" t="s">
        <v>568</v>
      </c>
      <c r="R562" s="14">
        <v>0.381818181818182</v>
      </c>
    </row>
    <row r="563" spans="1:18" hidden="1" x14ac:dyDescent="0.3">
      <c r="A563" t="s">
        <v>1139</v>
      </c>
      <c r="B563" s="1">
        <v>46159</v>
      </c>
      <c r="C563" t="s">
        <v>1237</v>
      </c>
      <c r="D563" t="s">
        <v>115</v>
      </c>
      <c r="E563" t="s">
        <v>355</v>
      </c>
      <c r="F563" s="2" t="s">
        <v>356</v>
      </c>
      <c r="G563" t="s">
        <v>343</v>
      </c>
      <c r="H563">
        <v>1</v>
      </c>
      <c r="I563">
        <v>550</v>
      </c>
      <c r="J563">
        <v>75</v>
      </c>
      <c r="K563">
        <v>475</v>
      </c>
      <c r="L563">
        <v>300</v>
      </c>
      <c r="M563">
        <v>175</v>
      </c>
      <c r="N563" t="s">
        <v>573</v>
      </c>
      <c r="O563" t="s">
        <v>266</v>
      </c>
      <c r="P563" t="s">
        <v>18</v>
      </c>
      <c r="Q563" t="s">
        <v>585</v>
      </c>
      <c r="R563" s="14">
        <v>0.36842105263157898</v>
      </c>
    </row>
    <row r="564" spans="1:18" hidden="1" x14ac:dyDescent="0.3">
      <c r="A564" t="s">
        <v>1140</v>
      </c>
      <c r="B564" s="1">
        <v>46259</v>
      </c>
      <c r="C564" t="s">
        <v>1236</v>
      </c>
      <c r="D564" t="s">
        <v>163</v>
      </c>
      <c r="E564" t="s">
        <v>382</v>
      </c>
      <c r="F564" s="2" t="s">
        <v>383</v>
      </c>
      <c r="G564" t="s">
        <v>384</v>
      </c>
      <c r="H564">
        <v>1</v>
      </c>
      <c r="I564">
        <v>1200</v>
      </c>
      <c r="J564">
        <v>20</v>
      </c>
      <c r="K564">
        <v>1180</v>
      </c>
      <c r="L564">
        <v>730</v>
      </c>
      <c r="M564">
        <v>450</v>
      </c>
      <c r="N564" t="s">
        <v>573</v>
      </c>
      <c r="O564" t="s">
        <v>269</v>
      </c>
      <c r="P564" t="s">
        <v>18</v>
      </c>
      <c r="Q564" t="s">
        <v>568</v>
      </c>
      <c r="R564" s="14">
        <v>0.38135593220338998</v>
      </c>
    </row>
    <row r="565" spans="1:18" hidden="1" x14ac:dyDescent="0.3">
      <c r="A565" t="s">
        <v>1141</v>
      </c>
      <c r="B565" s="1">
        <v>46137</v>
      </c>
      <c r="C565" t="s">
        <v>1231</v>
      </c>
      <c r="D565" t="s">
        <v>29</v>
      </c>
      <c r="E565" t="s">
        <v>387</v>
      </c>
      <c r="F565" s="2" t="s">
        <v>388</v>
      </c>
      <c r="G565" t="s">
        <v>347</v>
      </c>
      <c r="H565">
        <v>2</v>
      </c>
      <c r="I565">
        <v>850</v>
      </c>
      <c r="J565">
        <v>0</v>
      </c>
      <c r="K565">
        <v>1700</v>
      </c>
      <c r="L565">
        <v>1040</v>
      </c>
      <c r="M565">
        <v>660</v>
      </c>
      <c r="N565" t="s">
        <v>570</v>
      </c>
      <c r="O565" t="s">
        <v>269</v>
      </c>
      <c r="P565" t="s">
        <v>13</v>
      </c>
      <c r="Q565" t="s">
        <v>568</v>
      </c>
      <c r="R565" s="14">
        <v>0.38823529411764701</v>
      </c>
    </row>
    <row r="566" spans="1:18" hidden="1" x14ac:dyDescent="0.3">
      <c r="A566" t="s">
        <v>1142</v>
      </c>
      <c r="B566" s="1">
        <v>46173</v>
      </c>
      <c r="C566" t="s">
        <v>1237</v>
      </c>
      <c r="D566" t="s">
        <v>119</v>
      </c>
      <c r="E566" t="s">
        <v>369</v>
      </c>
      <c r="F566" s="2" t="s">
        <v>370</v>
      </c>
      <c r="G566" t="s">
        <v>371</v>
      </c>
      <c r="H566">
        <v>2</v>
      </c>
      <c r="I566">
        <v>1450</v>
      </c>
      <c r="J566">
        <v>20</v>
      </c>
      <c r="K566">
        <v>2880</v>
      </c>
      <c r="L566">
        <v>1800</v>
      </c>
      <c r="M566">
        <v>1080</v>
      </c>
      <c r="N566" t="s">
        <v>579</v>
      </c>
      <c r="O566" t="s">
        <v>266</v>
      </c>
      <c r="P566" t="s">
        <v>13</v>
      </c>
      <c r="Q566" t="s">
        <v>585</v>
      </c>
      <c r="R566" s="14">
        <v>0.375</v>
      </c>
    </row>
    <row r="567" spans="1:18" hidden="1" x14ac:dyDescent="0.3">
      <c r="A567" t="s">
        <v>1143</v>
      </c>
      <c r="B567" s="1">
        <v>46249</v>
      </c>
      <c r="C567" t="s">
        <v>1236</v>
      </c>
      <c r="D567" t="s">
        <v>237</v>
      </c>
      <c r="E567" t="s">
        <v>415</v>
      </c>
      <c r="F567" s="2" t="s">
        <v>416</v>
      </c>
      <c r="G567" t="s">
        <v>347</v>
      </c>
      <c r="H567">
        <v>1</v>
      </c>
      <c r="I567">
        <v>1250</v>
      </c>
      <c r="J567">
        <v>50</v>
      </c>
      <c r="K567">
        <v>1200</v>
      </c>
      <c r="L567">
        <v>760</v>
      </c>
      <c r="M567">
        <v>440</v>
      </c>
      <c r="N567" t="s">
        <v>570</v>
      </c>
      <c r="O567" t="s">
        <v>266</v>
      </c>
      <c r="P567" t="s">
        <v>13</v>
      </c>
      <c r="Q567" t="s">
        <v>568</v>
      </c>
      <c r="R567" s="14">
        <v>0.36666666666666697</v>
      </c>
    </row>
    <row r="568" spans="1:18" hidden="1" x14ac:dyDescent="0.3">
      <c r="A568" t="s">
        <v>1144</v>
      </c>
      <c r="B568" s="1">
        <v>46178</v>
      </c>
      <c r="C568" t="s">
        <v>1233</v>
      </c>
      <c r="D568" t="s">
        <v>41</v>
      </c>
      <c r="E568" t="s">
        <v>345</v>
      </c>
      <c r="F568" s="2" t="s">
        <v>346</v>
      </c>
      <c r="G568" t="s">
        <v>347</v>
      </c>
      <c r="H568">
        <v>2</v>
      </c>
      <c r="I568">
        <v>700</v>
      </c>
      <c r="J568">
        <v>100</v>
      </c>
      <c r="K568">
        <v>1300</v>
      </c>
      <c r="L568">
        <v>820</v>
      </c>
      <c r="M568">
        <v>480</v>
      </c>
      <c r="N568" t="s">
        <v>570</v>
      </c>
      <c r="O568" t="s">
        <v>266</v>
      </c>
      <c r="P568" t="s">
        <v>8</v>
      </c>
      <c r="Q568" t="s">
        <v>568</v>
      </c>
      <c r="R568" s="14">
        <v>0.36923076923076897</v>
      </c>
    </row>
    <row r="569" spans="1:18" x14ac:dyDescent="0.3">
      <c r="A569" t="s">
        <v>1145</v>
      </c>
      <c r="B569" s="1">
        <v>46090</v>
      </c>
      <c r="C569" t="s">
        <v>1230</v>
      </c>
      <c r="D569" t="s">
        <v>179</v>
      </c>
      <c r="E569" t="s">
        <v>419</v>
      </c>
      <c r="F569" s="2" t="s">
        <v>420</v>
      </c>
      <c r="G569" t="s">
        <v>362</v>
      </c>
      <c r="H569">
        <v>3</v>
      </c>
      <c r="I569">
        <v>1350</v>
      </c>
      <c r="J569">
        <v>75</v>
      </c>
      <c r="K569">
        <v>3975</v>
      </c>
      <c r="L569">
        <v>2550</v>
      </c>
      <c r="M569">
        <v>1425</v>
      </c>
      <c r="N569" t="s">
        <v>579</v>
      </c>
      <c r="O569" t="s">
        <v>269</v>
      </c>
      <c r="P569" t="s">
        <v>18</v>
      </c>
      <c r="Q569" t="s">
        <v>568</v>
      </c>
      <c r="R569" s="14">
        <v>0.35849056603773599</v>
      </c>
    </row>
    <row r="570" spans="1:18" hidden="1" x14ac:dyDescent="0.3">
      <c r="A570" t="s">
        <v>1146</v>
      </c>
      <c r="B570" s="1">
        <v>46127</v>
      </c>
      <c r="C570" t="s">
        <v>1231</v>
      </c>
      <c r="D570" t="s">
        <v>207</v>
      </c>
      <c r="E570" t="s">
        <v>366</v>
      </c>
      <c r="F570" s="2" t="s">
        <v>367</v>
      </c>
      <c r="G570" t="s">
        <v>352</v>
      </c>
      <c r="H570">
        <v>1</v>
      </c>
      <c r="I570">
        <v>1500</v>
      </c>
      <c r="J570">
        <v>50</v>
      </c>
      <c r="K570">
        <v>1450</v>
      </c>
      <c r="L570">
        <v>920</v>
      </c>
      <c r="M570">
        <v>530</v>
      </c>
      <c r="N570" t="s">
        <v>576</v>
      </c>
      <c r="O570" t="s">
        <v>266</v>
      </c>
      <c r="P570" t="s">
        <v>18</v>
      </c>
      <c r="Q570" t="s">
        <v>568</v>
      </c>
      <c r="R570" s="14">
        <v>0.36551724137931002</v>
      </c>
    </row>
    <row r="571" spans="1:18" hidden="1" x14ac:dyDescent="0.3">
      <c r="A571" t="s">
        <v>1147</v>
      </c>
      <c r="B571" s="1">
        <v>46050</v>
      </c>
      <c r="C571" t="s">
        <v>1234</v>
      </c>
      <c r="D571" t="s">
        <v>6</v>
      </c>
      <c r="E571" t="s">
        <v>415</v>
      </c>
      <c r="F571" s="2" t="s">
        <v>416</v>
      </c>
      <c r="G571" t="s">
        <v>347</v>
      </c>
      <c r="H571">
        <v>1</v>
      </c>
      <c r="I571">
        <v>1250</v>
      </c>
      <c r="J571">
        <v>0</v>
      </c>
      <c r="K571">
        <v>1250</v>
      </c>
      <c r="L571">
        <v>760</v>
      </c>
      <c r="M571">
        <v>490</v>
      </c>
      <c r="N571" t="s">
        <v>579</v>
      </c>
      <c r="O571" t="s">
        <v>266</v>
      </c>
      <c r="P571" t="s">
        <v>13</v>
      </c>
      <c r="Q571" t="s">
        <v>585</v>
      </c>
      <c r="R571" s="14">
        <v>0.39200000000000002</v>
      </c>
    </row>
    <row r="572" spans="1:18" hidden="1" x14ac:dyDescent="0.3">
      <c r="A572" t="s">
        <v>1148</v>
      </c>
      <c r="B572" s="1">
        <v>46188</v>
      </c>
      <c r="C572" t="s">
        <v>1233</v>
      </c>
      <c r="D572" t="s">
        <v>223</v>
      </c>
      <c r="E572" t="s">
        <v>400</v>
      </c>
      <c r="F572" s="2" t="s">
        <v>401</v>
      </c>
      <c r="G572" t="s">
        <v>384</v>
      </c>
      <c r="H572">
        <v>3</v>
      </c>
      <c r="I572">
        <v>950</v>
      </c>
      <c r="J572">
        <v>20</v>
      </c>
      <c r="K572">
        <v>2830</v>
      </c>
      <c r="L572">
        <v>1710</v>
      </c>
      <c r="M572">
        <v>1120</v>
      </c>
      <c r="N572" t="s">
        <v>570</v>
      </c>
      <c r="O572" t="s">
        <v>269</v>
      </c>
      <c r="P572" t="s">
        <v>18</v>
      </c>
      <c r="Q572" t="s">
        <v>568</v>
      </c>
      <c r="R572" s="14">
        <v>0.395759717314488</v>
      </c>
    </row>
    <row r="573" spans="1:18" hidden="1" x14ac:dyDescent="0.3">
      <c r="A573" t="s">
        <v>1149</v>
      </c>
      <c r="B573" s="1">
        <v>46259</v>
      </c>
      <c r="C573" t="s">
        <v>1236</v>
      </c>
      <c r="D573" t="s">
        <v>57</v>
      </c>
      <c r="E573" t="s">
        <v>350</v>
      </c>
      <c r="F573" s="2" t="s">
        <v>351</v>
      </c>
      <c r="G573" t="s">
        <v>352</v>
      </c>
      <c r="H573">
        <v>1</v>
      </c>
      <c r="I573">
        <v>900</v>
      </c>
      <c r="J573">
        <v>0</v>
      </c>
      <c r="K573">
        <v>900</v>
      </c>
      <c r="L573">
        <v>540</v>
      </c>
      <c r="M573">
        <v>360</v>
      </c>
      <c r="N573" t="s">
        <v>579</v>
      </c>
      <c r="O573" t="s">
        <v>269</v>
      </c>
      <c r="P573" t="s">
        <v>8</v>
      </c>
      <c r="Q573" t="s">
        <v>568</v>
      </c>
      <c r="R573" s="14">
        <v>0.4</v>
      </c>
    </row>
    <row r="574" spans="1:18" x14ac:dyDescent="0.3">
      <c r="A574" t="s">
        <v>1150</v>
      </c>
      <c r="B574" s="1">
        <v>46214</v>
      </c>
      <c r="C574" t="s">
        <v>1232</v>
      </c>
      <c r="D574" t="s">
        <v>215</v>
      </c>
      <c r="E574" t="s">
        <v>419</v>
      </c>
      <c r="F574" s="2" t="s">
        <v>420</v>
      </c>
      <c r="G574" t="s">
        <v>362</v>
      </c>
      <c r="H574">
        <v>2</v>
      </c>
      <c r="I574">
        <v>1350</v>
      </c>
      <c r="J574">
        <v>50</v>
      </c>
      <c r="K574">
        <v>2650</v>
      </c>
      <c r="L574">
        <v>1700</v>
      </c>
      <c r="M574">
        <v>950</v>
      </c>
      <c r="N574" t="s">
        <v>579</v>
      </c>
      <c r="O574" t="s">
        <v>269</v>
      </c>
      <c r="P574" t="s">
        <v>18</v>
      </c>
      <c r="Q574" t="s">
        <v>568</v>
      </c>
      <c r="R574" s="14">
        <v>0.35849056603773599</v>
      </c>
    </row>
    <row r="575" spans="1:18" hidden="1" x14ac:dyDescent="0.3">
      <c r="A575" t="s">
        <v>1151</v>
      </c>
      <c r="B575" s="1">
        <v>46037</v>
      </c>
      <c r="C575" t="s">
        <v>1234</v>
      </c>
      <c r="D575" t="s">
        <v>77</v>
      </c>
      <c r="E575" t="s">
        <v>415</v>
      </c>
      <c r="F575" s="2" t="s">
        <v>416</v>
      </c>
      <c r="G575" t="s">
        <v>347</v>
      </c>
      <c r="H575">
        <v>2</v>
      </c>
      <c r="I575">
        <v>1250</v>
      </c>
      <c r="J575">
        <v>0</v>
      </c>
      <c r="K575">
        <v>2500</v>
      </c>
      <c r="L575">
        <v>1520</v>
      </c>
      <c r="M575">
        <v>980</v>
      </c>
      <c r="N575" t="s">
        <v>576</v>
      </c>
      <c r="O575" t="s">
        <v>269</v>
      </c>
      <c r="P575" t="s">
        <v>13</v>
      </c>
      <c r="Q575" t="s">
        <v>568</v>
      </c>
      <c r="R575" s="14">
        <v>0.39200000000000002</v>
      </c>
    </row>
    <row r="576" spans="1:18" hidden="1" x14ac:dyDescent="0.3">
      <c r="A576" t="s">
        <v>1152</v>
      </c>
      <c r="B576" s="1">
        <v>46106</v>
      </c>
      <c r="C576" t="s">
        <v>1230</v>
      </c>
      <c r="D576" t="s">
        <v>31</v>
      </c>
      <c r="E576" t="s">
        <v>374</v>
      </c>
      <c r="F576" s="2" t="s">
        <v>375</v>
      </c>
      <c r="G576" t="s">
        <v>376</v>
      </c>
      <c r="H576">
        <v>1</v>
      </c>
      <c r="I576">
        <v>800</v>
      </c>
      <c r="J576">
        <v>75</v>
      </c>
      <c r="K576">
        <v>725</v>
      </c>
      <c r="L576">
        <v>470</v>
      </c>
      <c r="M576">
        <v>255</v>
      </c>
      <c r="N576" t="s">
        <v>576</v>
      </c>
      <c r="O576" t="s">
        <v>269</v>
      </c>
      <c r="P576" t="s">
        <v>18</v>
      </c>
      <c r="Q576" t="s">
        <v>568</v>
      </c>
      <c r="R576" s="14">
        <v>0.35172413793103402</v>
      </c>
    </row>
    <row r="577" spans="1:18" x14ac:dyDescent="0.3">
      <c r="A577" t="s">
        <v>1153</v>
      </c>
      <c r="B577" s="1">
        <v>46144</v>
      </c>
      <c r="C577" t="s">
        <v>1237</v>
      </c>
      <c r="D577" t="s">
        <v>49</v>
      </c>
      <c r="E577" t="s">
        <v>419</v>
      </c>
      <c r="F577" s="2" t="s">
        <v>420</v>
      </c>
      <c r="G577" t="s">
        <v>362</v>
      </c>
      <c r="H577">
        <v>1</v>
      </c>
      <c r="I577">
        <v>1350</v>
      </c>
      <c r="J577">
        <v>0</v>
      </c>
      <c r="K577">
        <v>1350</v>
      </c>
      <c r="L577">
        <v>850</v>
      </c>
      <c r="M577">
        <v>500</v>
      </c>
      <c r="N577" t="s">
        <v>573</v>
      </c>
      <c r="O577" t="s">
        <v>266</v>
      </c>
      <c r="P577" t="s">
        <v>13</v>
      </c>
      <c r="Q577" t="s">
        <v>585</v>
      </c>
      <c r="R577" s="14">
        <v>0.37037037037037002</v>
      </c>
    </row>
    <row r="578" spans="1:18" hidden="1" x14ac:dyDescent="0.3">
      <c r="A578" t="s">
        <v>1154</v>
      </c>
      <c r="B578" s="1">
        <v>46060</v>
      </c>
      <c r="C578" t="s">
        <v>1235</v>
      </c>
      <c r="D578" t="s">
        <v>37</v>
      </c>
      <c r="E578" t="s">
        <v>341</v>
      </c>
      <c r="F578" s="2" t="s">
        <v>342</v>
      </c>
      <c r="G578" t="s">
        <v>343</v>
      </c>
      <c r="H578">
        <v>2</v>
      </c>
      <c r="I578">
        <v>750</v>
      </c>
      <c r="J578">
        <v>20</v>
      </c>
      <c r="K578">
        <v>1480</v>
      </c>
      <c r="L578">
        <v>860</v>
      </c>
      <c r="M578">
        <v>620</v>
      </c>
      <c r="N578" t="s">
        <v>579</v>
      </c>
      <c r="O578" t="s">
        <v>266</v>
      </c>
      <c r="P578" t="s">
        <v>8</v>
      </c>
      <c r="Q578" t="s">
        <v>574</v>
      </c>
      <c r="R578" s="14">
        <v>0.41891891891891903</v>
      </c>
    </row>
    <row r="579" spans="1:18" hidden="1" x14ac:dyDescent="0.3">
      <c r="A579" t="s">
        <v>1155</v>
      </c>
      <c r="B579" s="1">
        <v>46144</v>
      </c>
      <c r="C579" t="s">
        <v>1237</v>
      </c>
      <c r="D579" t="s">
        <v>16</v>
      </c>
      <c r="E579" t="s">
        <v>396</v>
      </c>
      <c r="F579" s="2" t="s">
        <v>397</v>
      </c>
      <c r="G579" t="s">
        <v>376</v>
      </c>
      <c r="H579">
        <v>2</v>
      </c>
      <c r="I579">
        <v>600</v>
      </c>
      <c r="J579">
        <v>20</v>
      </c>
      <c r="K579">
        <v>1180</v>
      </c>
      <c r="L579">
        <v>700</v>
      </c>
      <c r="M579">
        <v>480</v>
      </c>
      <c r="N579" t="s">
        <v>573</v>
      </c>
      <c r="O579" t="s">
        <v>269</v>
      </c>
      <c r="P579" t="s">
        <v>18</v>
      </c>
      <c r="Q579" t="s">
        <v>568</v>
      </c>
      <c r="R579" s="14">
        <v>0.40677966101694901</v>
      </c>
    </row>
    <row r="580" spans="1:18" hidden="1" x14ac:dyDescent="0.3">
      <c r="A580" t="s">
        <v>1156</v>
      </c>
      <c r="B580" s="1">
        <v>46236</v>
      </c>
      <c r="C580" t="s">
        <v>1236</v>
      </c>
      <c r="D580" t="s">
        <v>215</v>
      </c>
      <c r="E580" t="s">
        <v>393</v>
      </c>
      <c r="F580" s="2" t="s">
        <v>394</v>
      </c>
      <c r="G580" t="s">
        <v>371</v>
      </c>
      <c r="H580">
        <v>3</v>
      </c>
      <c r="I580">
        <v>1150</v>
      </c>
      <c r="J580">
        <v>75</v>
      </c>
      <c r="K580">
        <v>3375</v>
      </c>
      <c r="L580">
        <v>2100</v>
      </c>
      <c r="M580">
        <v>1275</v>
      </c>
      <c r="N580" t="s">
        <v>570</v>
      </c>
      <c r="O580" t="s">
        <v>266</v>
      </c>
      <c r="P580" t="s">
        <v>8</v>
      </c>
      <c r="Q580" t="s">
        <v>574</v>
      </c>
      <c r="R580" s="14">
        <v>0.37777777777777799</v>
      </c>
    </row>
    <row r="581" spans="1:18" hidden="1" x14ac:dyDescent="0.3">
      <c r="A581" t="s">
        <v>1157</v>
      </c>
      <c r="B581" s="1">
        <v>46083</v>
      </c>
      <c r="C581" t="s">
        <v>1230</v>
      </c>
      <c r="D581" t="s">
        <v>135</v>
      </c>
      <c r="E581" t="s">
        <v>355</v>
      </c>
      <c r="F581" s="2" t="s">
        <v>356</v>
      </c>
      <c r="G581" t="s">
        <v>343</v>
      </c>
      <c r="H581">
        <v>1</v>
      </c>
      <c r="I581">
        <v>550</v>
      </c>
      <c r="J581">
        <v>75</v>
      </c>
      <c r="K581">
        <v>475</v>
      </c>
      <c r="L581">
        <v>300</v>
      </c>
      <c r="M581">
        <v>175</v>
      </c>
      <c r="N581" t="s">
        <v>567</v>
      </c>
      <c r="O581" t="s">
        <v>266</v>
      </c>
      <c r="P581" t="s">
        <v>13</v>
      </c>
      <c r="Q581" t="s">
        <v>568</v>
      </c>
      <c r="R581" s="14">
        <v>0.36842105263157898</v>
      </c>
    </row>
    <row r="582" spans="1:18" hidden="1" x14ac:dyDescent="0.3">
      <c r="A582" t="s">
        <v>1158</v>
      </c>
      <c r="B582" s="1">
        <v>46115</v>
      </c>
      <c r="C582" t="s">
        <v>1231</v>
      </c>
      <c r="D582" t="s">
        <v>145</v>
      </c>
      <c r="E582" t="s">
        <v>341</v>
      </c>
      <c r="F582" s="2" t="s">
        <v>342</v>
      </c>
      <c r="G582" t="s">
        <v>343</v>
      </c>
      <c r="H582">
        <v>1</v>
      </c>
      <c r="I582">
        <v>750</v>
      </c>
      <c r="J582">
        <v>100</v>
      </c>
      <c r="K582">
        <v>650</v>
      </c>
      <c r="L582">
        <v>430</v>
      </c>
      <c r="M582">
        <v>220</v>
      </c>
      <c r="N582" t="s">
        <v>573</v>
      </c>
      <c r="O582" t="s">
        <v>269</v>
      </c>
      <c r="P582" t="s">
        <v>8</v>
      </c>
      <c r="Q582" t="s">
        <v>585</v>
      </c>
      <c r="R582" s="14">
        <v>0.33846153846153798</v>
      </c>
    </row>
    <row r="583" spans="1:18" hidden="1" x14ac:dyDescent="0.3">
      <c r="A583" t="s">
        <v>1159</v>
      </c>
      <c r="B583" s="1">
        <v>46130</v>
      </c>
      <c r="C583" t="s">
        <v>1231</v>
      </c>
      <c r="D583" t="s">
        <v>159</v>
      </c>
      <c r="E583" t="s">
        <v>350</v>
      </c>
      <c r="F583" s="2" t="s">
        <v>351</v>
      </c>
      <c r="G583" t="s">
        <v>352</v>
      </c>
      <c r="H583">
        <v>2</v>
      </c>
      <c r="I583">
        <v>900</v>
      </c>
      <c r="J583">
        <v>75</v>
      </c>
      <c r="K583">
        <v>1725</v>
      </c>
      <c r="L583">
        <v>1080</v>
      </c>
      <c r="M583">
        <v>645</v>
      </c>
      <c r="N583" t="s">
        <v>579</v>
      </c>
      <c r="O583" t="s">
        <v>269</v>
      </c>
      <c r="P583" t="s">
        <v>18</v>
      </c>
      <c r="Q583" t="s">
        <v>585</v>
      </c>
      <c r="R583" s="14">
        <v>0.37391304347826099</v>
      </c>
    </row>
    <row r="584" spans="1:18" hidden="1" x14ac:dyDescent="0.3">
      <c r="A584" t="s">
        <v>1160</v>
      </c>
      <c r="B584" s="1">
        <v>46116</v>
      </c>
      <c r="C584" t="s">
        <v>1231</v>
      </c>
      <c r="D584" t="s">
        <v>153</v>
      </c>
      <c r="E584" t="s">
        <v>366</v>
      </c>
      <c r="F584" s="2" t="s">
        <v>367</v>
      </c>
      <c r="G584" t="s">
        <v>352</v>
      </c>
      <c r="H584">
        <v>1</v>
      </c>
      <c r="I584">
        <v>1500</v>
      </c>
      <c r="J584">
        <v>20</v>
      </c>
      <c r="K584">
        <v>1480</v>
      </c>
      <c r="L584">
        <v>920</v>
      </c>
      <c r="M584">
        <v>560</v>
      </c>
      <c r="N584" t="s">
        <v>579</v>
      </c>
      <c r="O584" t="s">
        <v>269</v>
      </c>
      <c r="P584" t="s">
        <v>18</v>
      </c>
      <c r="Q584" t="s">
        <v>568</v>
      </c>
      <c r="R584" s="14">
        <v>0.37837837837837801</v>
      </c>
    </row>
    <row r="585" spans="1:18" hidden="1" x14ac:dyDescent="0.3">
      <c r="A585" t="s">
        <v>1161</v>
      </c>
      <c r="B585" s="1">
        <v>46205</v>
      </c>
      <c r="C585" t="s">
        <v>1232</v>
      </c>
      <c r="D585" t="s">
        <v>51</v>
      </c>
      <c r="E585" t="s">
        <v>374</v>
      </c>
      <c r="F585" s="2" t="s">
        <v>375</v>
      </c>
      <c r="G585" t="s">
        <v>376</v>
      </c>
      <c r="H585">
        <v>1</v>
      </c>
      <c r="I585">
        <v>800</v>
      </c>
      <c r="J585">
        <v>50</v>
      </c>
      <c r="K585">
        <v>750</v>
      </c>
      <c r="L585">
        <v>470</v>
      </c>
      <c r="M585">
        <v>280</v>
      </c>
      <c r="N585" t="s">
        <v>567</v>
      </c>
      <c r="O585" t="s">
        <v>269</v>
      </c>
      <c r="P585" t="s">
        <v>13</v>
      </c>
      <c r="Q585" t="s">
        <v>568</v>
      </c>
      <c r="R585" s="14">
        <v>0.37333333333333302</v>
      </c>
    </row>
    <row r="586" spans="1:18" hidden="1" x14ac:dyDescent="0.3">
      <c r="A586" t="s">
        <v>1162</v>
      </c>
      <c r="B586" s="1">
        <v>46101</v>
      </c>
      <c r="C586" t="s">
        <v>1230</v>
      </c>
      <c r="D586" t="s">
        <v>169</v>
      </c>
      <c r="E586" t="s">
        <v>374</v>
      </c>
      <c r="F586" s="2" t="s">
        <v>375</v>
      </c>
      <c r="G586" t="s">
        <v>376</v>
      </c>
      <c r="H586">
        <v>2</v>
      </c>
      <c r="I586">
        <v>800</v>
      </c>
      <c r="J586">
        <v>75</v>
      </c>
      <c r="K586">
        <v>1525</v>
      </c>
      <c r="L586">
        <v>940</v>
      </c>
      <c r="M586">
        <v>585</v>
      </c>
      <c r="N586" t="s">
        <v>570</v>
      </c>
      <c r="O586" t="s">
        <v>269</v>
      </c>
      <c r="P586" t="s">
        <v>8</v>
      </c>
      <c r="Q586" t="s">
        <v>585</v>
      </c>
      <c r="R586" s="14">
        <v>0.38360655737704902</v>
      </c>
    </row>
    <row r="587" spans="1:18" hidden="1" x14ac:dyDescent="0.3">
      <c r="A587" t="s">
        <v>1163</v>
      </c>
      <c r="B587" s="1">
        <v>46188</v>
      </c>
      <c r="C587" t="s">
        <v>1233</v>
      </c>
      <c r="D587" t="s">
        <v>169</v>
      </c>
      <c r="E587" t="s">
        <v>387</v>
      </c>
      <c r="F587" s="2" t="s">
        <v>388</v>
      </c>
      <c r="G587" t="s">
        <v>347</v>
      </c>
      <c r="H587">
        <v>2</v>
      </c>
      <c r="I587">
        <v>850</v>
      </c>
      <c r="J587">
        <v>0</v>
      </c>
      <c r="K587">
        <v>1700</v>
      </c>
      <c r="L587">
        <v>1040</v>
      </c>
      <c r="M587">
        <v>660</v>
      </c>
      <c r="N587" t="s">
        <v>567</v>
      </c>
      <c r="O587" t="s">
        <v>266</v>
      </c>
      <c r="P587" t="s">
        <v>18</v>
      </c>
      <c r="Q587" t="s">
        <v>568</v>
      </c>
      <c r="R587" s="14">
        <v>0.38823529411764701</v>
      </c>
    </row>
    <row r="588" spans="1:18" hidden="1" x14ac:dyDescent="0.3">
      <c r="A588" t="s">
        <v>1164</v>
      </c>
      <c r="B588" s="1">
        <v>46049</v>
      </c>
      <c r="C588" t="s">
        <v>1234</v>
      </c>
      <c r="D588" t="s">
        <v>33</v>
      </c>
      <c r="E588" t="s">
        <v>374</v>
      </c>
      <c r="F588" s="2" t="s">
        <v>375</v>
      </c>
      <c r="G588" t="s">
        <v>376</v>
      </c>
      <c r="H588">
        <v>1</v>
      </c>
      <c r="I588">
        <v>800</v>
      </c>
      <c r="J588">
        <v>20</v>
      </c>
      <c r="K588">
        <v>780</v>
      </c>
      <c r="L588">
        <v>470</v>
      </c>
      <c r="M588">
        <v>310</v>
      </c>
      <c r="N588" t="s">
        <v>573</v>
      </c>
      <c r="O588" t="s">
        <v>269</v>
      </c>
      <c r="P588" t="s">
        <v>13</v>
      </c>
      <c r="Q588" t="s">
        <v>568</v>
      </c>
      <c r="R588" s="14">
        <v>0.39743589743589702</v>
      </c>
    </row>
    <row r="589" spans="1:18" hidden="1" x14ac:dyDescent="0.3">
      <c r="A589" t="s">
        <v>1165</v>
      </c>
      <c r="B589" s="1">
        <v>46071</v>
      </c>
      <c r="C589" t="s">
        <v>1235</v>
      </c>
      <c r="D589" t="s">
        <v>53</v>
      </c>
      <c r="E589" t="s">
        <v>350</v>
      </c>
      <c r="F589" s="2" t="s">
        <v>351</v>
      </c>
      <c r="G589" t="s">
        <v>352</v>
      </c>
      <c r="H589">
        <v>1</v>
      </c>
      <c r="I589">
        <v>900</v>
      </c>
      <c r="J589">
        <v>100</v>
      </c>
      <c r="K589">
        <v>800</v>
      </c>
      <c r="L589">
        <v>540</v>
      </c>
      <c r="M589">
        <v>260</v>
      </c>
      <c r="N589" t="s">
        <v>573</v>
      </c>
      <c r="O589" t="s">
        <v>266</v>
      </c>
      <c r="P589" t="s">
        <v>8</v>
      </c>
      <c r="Q589" t="s">
        <v>585</v>
      </c>
      <c r="R589" s="14">
        <v>0.32500000000000001</v>
      </c>
    </row>
    <row r="590" spans="1:18" hidden="1" x14ac:dyDescent="0.3">
      <c r="A590" t="s">
        <v>1166</v>
      </c>
      <c r="B590" s="1">
        <v>46214</v>
      </c>
      <c r="C590" t="s">
        <v>1232</v>
      </c>
      <c r="D590" t="s">
        <v>235</v>
      </c>
      <c r="E590" t="s">
        <v>369</v>
      </c>
      <c r="F590" s="2" t="s">
        <v>370</v>
      </c>
      <c r="G590" t="s">
        <v>371</v>
      </c>
      <c r="H590">
        <v>1</v>
      </c>
      <c r="I590">
        <v>1450</v>
      </c>
      <c r="J590">
        <v>0</v>
      </c>
      <c r="K590">
        <v>1450</v>
      </c>
      <c r="L590">
        <v>900</v>
      </c>
      <c r="M590">
        <v>550</v>
      </c>
      <c r="N590" t="s">
        <v>579</v>
      </c>
      <c r="O590" t="s">
        <v>266</v>
      </c>
      <c r="P590" t="s">
        <v>13</v>
      </c>
      <c r="Q590" t="s">
        <v>585</v>
      </c>
      <c r="R590" s="14">
        <v>0.37931034482758602</v>
      </c>
    </row>
    <row r="591" spans="1:18" hidden="1" x14ac:dyDescent="0.3">
      <c r="A591" t="s">
        <v>1167</v>
      </c>
      <c r="B591" s="1">
        <v>46141</v>
      </c>
      <c r="C591" t="s">
        <v>1231</v>
      </c>
      <c r="D591" t="s">
        <v>37</v>
      </c>
      <c r="E591" t="s">
        <v>396</v>
      </c>
      <c r="F591" s="2" t="s">
        <v>397</v>
      </c>
      <c r="G591" t="s">
        <v>376</v>
      </c>
      <c r="H591">
        <v>1</v>
      </c>
      <c r="I591">
        <v>600</v>
      </c>
      <c r="J591">
        <v>20</v>
      </c>
      <c r="K591">
        <v>580</v>
      </c>
      <c r="L591">
        <v>350</v>
      </c>
      <c r="M591">
        <v>230</v>
      </c>
      <c r="N591" t="s">
        <v>570</v>
      </c>
      <c r="O591" t="s">
        <v>269</v>
      </c>
      <c r="P591" t="s">
        <v>18</v>
      </c>
      <c r="Q591" t="s">
        <v>568</v>
      </c>
      <c r="R591" s="14">
        <v>0.39655172413793099</v>
      </c>
    </row>
    <row r="592" spans="1:18" hidden="1" x14ac:dyDescent="0.3">
      <c r="A592" t="s">
        <v>1168</v>
      </c>
      <c r="B592" s="1">
        <v>46122</v>
      </c>
      <c r="C592" t="s">
        <v>1231</v>
      </c>
      <c r="D592" t="s">
        <v>77</v>
      </c>
      <c r="E592" t="s">
        <v>415</v>
      </c>
      <c r="F592" s="2" t="s">
        <v>416</v>
      </c>
      <c r="G592" t="s">
        <v>347</v>
      </c>
      <c r="H592">
        <v>1</v>
      </c>
      <c r="I592">
        <v>1250</v>
      </c>
      <c r="J592">
        <v>20</v>
      </c>
      <c r="K592">
        <v>1230</v>
      </c>
      <c r="L592">
        <v>760</v>
      </c>
      <c r="M592">
        <v>470</v>
      </c>
      <c r="N592" t="s">
        <v>579</v>
      </c>
      <c r="O592" t="s">
        <v>266</v>
      </c>
      <c r="P592" t="s">
        <v>13</v>
      </c>
      <c r="Q592" t="s">
        <v>568</v>
      </c>
      <c r="R592" s="14">
        <v>0.38211382113821102</v>
      </c>
    </row>
    <row r="593" spans="1:18" x14ac:dyDescent="0.3">
      <c r="A593" t="s">
        <v>1169</v>
      </c>
      <c r="B593" s="1">
        <v>46054</v>
      </c>
      <c r="C593" t="s">
        <v>1235</v>
      </c>
      <c r="D593" t="s">
        <v>79</v>
      </c>
      <c r="E593" t="s">
        <v>360</v>
      </c>
      <c r="F593" s="2" t="s">
        <v>361</v>
      </c>
      <c r="G593" t="s">
        <v>362</v>
      </c>
      <c r="H593">
        <v>1</v>
      </c>
      <c r="I593">
        <v>1100</v>
      </c>
      <c r="J593">
        <v>0</v>
      </c>
      <c r="K593">
        <v>1100</v>
      </c>
      <c r="L593">
        <v>680</v>
      </c>
      <c r="M593">
        <v>420</v>
      </c>
      <c r="N593" t="s">
        <v>567</v>
      </c>
      <c r="O593" t="s">
        <v>266</v>
      </c>
      <c r="P593" t="s">
        <v>8</v>
      </c>
      <c r="Q593" t="s">
        <v>574</v>
      </c>
      <c r="R593" s="14">
        <v>0.381818181818182</v>
      </c>
    </row>
    <row r="594" spans="1:18" hidden="1" x14ac:dyDescent="0.3">
      <c r="A594" t="s">
        <v>1170</v>
      </c>
      <c r="B594" s="1">
        <v>46090</v>
      </c>
      <c r="C594" t="s">
        <v>1230</v>
      </c>
      <c r="D594" t="s">
        <v>87</v>
      </c>
      <c r="E594" t="s">
        <v>341</v>
      </c>
      <c r="F594" s="2" t="s">
        <v>342</v>
      </c>
      <c r="G594" t="s">
        <v>343</v>
      </c>
      <c r="H594">
        <v>1</v>
      </c>
      <c r="I594">
        <v>750</v>
      </c>
      <c r="J594">
        <v>20</v>
      </c>
      <c r="K594">
        <v>730</v>
      </c>
      <c r="L594">
        <v>430</v>
      </c>
      <c r="M594">
        <v>300</v>
      </c>
      <c r="N594" t="s">
        <v>570</v>
      </c>
      <c r="O594" t="s">
        <v>266</v>
      </c>
      <c r="P594" t="s">
        <v>8</v>
      </c>
      <c r="Q594" t="s">
        <v>568</v>
      </c>
      <c r="R594" s="14">
        <v>0.41095890410958902</v>
      </c>
    </row>
    <row r="595" spans="1:18" hidden="1" x14ac:dyDescent="0.3">
      <c r="A595" t="s">
        <v>1171</v>
      </c>
      <c r="B595" s="1">
        <v>46053</v>
      </c>
      <c r="C595" t="s">
        <v>1234</v>
      </c>
      <c r="D595" t="s">
        <v>11</v>
      </c>
      <c r="E595" t="s">
        <v>369</v>
      </c>
      <c r="F595" s="2" t="s">
        <v>370</v>
      </c>
      <c r="G595" t="s">
        <v>371</v>
      </c>
      <c r="H595">
        <v>1</v>
      </c>
      <c r="I595">
        <v>1450</v>
      </c>
      <c r="J595">
        <v>75</v>
      </c>
      <c r="K595">
        <v>1375</v>
      </c>
      <c r="L595">
        <v>900</v>
      </c>
      <c r="M595">
        <v>475</v>
      </c>
      <c r="N595" t="s">
        <v>570</v>
      </c>
      <c r="O595" t="s">
        <v>269</v>
      </c>
      <c r="P595" t="s">
        <v>13</v>
      </c>
      <c r="Q595" t="s">
        <v>568</v>
      </c>
      <c r="R595" s="14">
        <v>0.34545454545454501</v>
      </c>
    </row>
    <row r="596" spans="1:18" hidden="1" x14ac:dyDescent="0.3">
      <c r="A596" t="s">
        <v>1172</v>
      </c>
      <c r="B596" s="1">
        <v>46137</v>
      </c>
      <c r="C596" t="s">
        <v>1231</v>
      </c>
      <c r="D596" t="s">
        <v>213</v>
      </c>
      <c r="E596" t="s">
        <v>345</v>
      </c>
      <c r="F596" s="2" t="s">
        <v>346</v>
      </c>
      <c r="G596" t="s">
        <v>347</v>
      </c>
      <c r="H596">
        <v>3</v>
      </c>
      <c r="I596">
        <v>700</v>
      </c>
      <c r="J596">
        <v>100</v>
      </c>
      <c r="K596">
        <v>2000</v>
      </c>
      <c r="L596">
        <v>1230</v>
      </c>
      <c r="M596">
        <v>770</v>
      </c>
      <c r="N596" t="s">
        <v>579</v>
      </c>
      <c r="O596" t="s">
        <v>269</v>
      </c>
      <c r="P596" t="s">
        <v>13</v>
      </c>
      <c r="Q596" t="s">
        <v>568</v>
      </c>
      <c r="R596" s="14">
        <v>0.38500000000000001</v>
      </c>
    </row>
    <row r="597" spans="1:18" hidden="1" x14ac:dyDescent="0.3">
      <c r="A597" t="s">
        <v>1173</v>
      </c>
      <c r="B597" s="1">
        <v>46219</v>
      </c>
      <c r="C597" t="s">
        <v>1232</v>
      </c>
      <c r="D597" t="s">
        <v>241</v>
      </c>
      <c r="E597" t="s">
        <v>396</v>
      </c>
      <c r="F597" s="2" t="s">
        <v>397</v>
      </c>
      <c r="G597" t="s">
        <v>376</v>
      </c>
      <c r="H597">
        <v>2</v>
      </c>
      <c r="I597">
        <v>600</v>
      </c>
      <c r="J597">
        <v>20</v>
      </c>
      <c r="K597">
        <v>1180</v>
      </c>
      <c r="L597">
        <v>700</v>
      </c>
      <c r="M597">
        <v>480</v>
      </c>
      <c r="N597" t="s">
        <v>567</v>
      </c>
      <c r="O597" t="s">
        <v>269</v>
      </c>
      <c r="P597" t="s">
        <v>8</v>
      </c>
      <c r="Q597" t="s">
        <v>585</v>
      </c>
      <c r="R597" s="14">
        <v>0.40677966101694901</v>
      </c>
    </row>
    <row r="598" spans="1:18" hidden="1" x14ac:dyDescent="0.3">
      <c r="A598" t="s">
        <v>1174</v>
      </c>
      <c r="B598" s="1">
        <v>46206</v>
      </c>
      <c r="C598" t="s">
        <v>1232</v>
      </c>
      <c r="D598" t="s">
        <v>227</v>
      </c>
      <c r="E598" t="s">
        <v>366</v>
      </c>
      <c r="F598" s="2" t="s">
        <v>367</v>
      </c>
      <c r="G598" t="s">
        <v>352</v>
      </c>
      <c r="H598">
        <v>2</v>
      </c>
      <c r="I598">
        <v>1500</v>
      </c>
      <c r="J598">
        <v>0</v>
      </c>
      <c r="K598">
        <v>3000</v>
      </c>
      <c r="L598">
        <v>1840</v>
      </c>
      <c r="M598">
        <v>1160</v>
      </c>
      <c r="N598" t="s">
        <v>576</v>
      </c>
      <c r="O598" t="s">
        <v>266</v>
      </c>
      <c r="P598" t="s">
        <v>13</v>
      </c>
      <c r="Q598" t="s">
        <v>585</v>
      </c>
      <c r="R598" s="14">
        <v>0.38666666666666699</v>
      </c>
    </row>
    <row r="599" spans="1:18" hidden="1" x14ac:dyDescent="0.3">
      <c r="A599" t="s">
        <v>1175</v>
      </c>
      <c r="B599" s="1">
        <v>46118</v>
      </c>
      <c r="C599" t="s">
        <v>1231</v>
      </c>
      <c r="D599" t="s">
        <v>153</v>
      </c>
      <c r="E599" t="s">
        <v>369</v>
      </c>
      <c r="F599" s="2" t="s">
        <v>370</v>
      </c>
      <c r="G599" t="s">
        <v>371</v>
      </c>
      <c r="H599">
        <v>2</v>
      </c>
      <c r="I599">
        <v>1450</v>
      </c>
      <c r="J599">
        <v>20</v>
      </c>
      <c r="K599">
        <v>2880</v>
      </c>
      <c r="L599">
        <v>1800</v>
      </c>
      <c r="M599">
        <v>1080</v>
      </c>
      <c r="N599" t="s">
        <v>567</v>
      </c>
      <c r="O599" t="s">
        <v>266</v>
      </c>
      <c r="P599" t="s">
        <v>8</v>
      </c>
      <c r="Q599" t="s">
        <v>568</v>
      </c>
      <c r="R599" s="14">
        <v>0.375</v>
      </c>
    </row>
    <row r="600" spans="1:18" hidden="1" x14ac:dyDescent="0.3">
      <c r="A600" t="s">
        <v>1176</v>
      </c>
      <c r="B600" s="1">
        <v>46065</v>
      </c>
      <c r="C600" t="s">
        <v>1235</v>
      </c>
      <c r="D600" t="s">
        <v>41</v>
      </c>
      <c r="E600" t="s">
        <v>393</v>
      </c>
      <c r="F600" s="2" t="s">
        <v>394</v>
      </c>
      <c r="G600" t="s">
        <v>371</v>
      </c>
      <c r="H600">
        <v>2</v>
      </c>
      <c r="I600">
        <v>1150</v>
      </c>
      <c r="J600">
        <v>75</v>
      </c>
      <c r="K600">
        <v>2225</v>
      </c>
      <c r="L600">
        <v>1400</v>
      </c>
      <c r="M600">
        <v>825</v>
      </c>
      <c r="N600" t="s">
        <v>576</v>
      </c>
      <c r="O600" t="s">
        <v>269</v>
      </c>
      <c r="P600" t="s">
        <v>13</v>
      </c>
      <c r="Q600" t="s">
        <v>585</v>
      </c>
      <c r="R600" s="14">
        <v>0.37078651685393299</v>
      </c>
    </row>
    <row r="601" spans="1:18" hidden="1" x14ac:dyDescent="0.3">
      <c r="A601" t="s">
        <v>1177</v>
      </c>
      <c r="B601" s="1">
        <v>46057</v>
      </c>
      <c r="C601" t="s">
        <v>1235</v>
      </c>
      <c r="D601" t="s">
        <v>51</v>
      </c>
      <c r="E601" t="s">
        <v>341</v>
      </c>
      <c r="F601" s="2" t="s">
        <v>342</v>
      </c>
      <c r="G601" t="s">
        <v>343</v>
      </c>
      <c r="H601">
        <v>3</v>
      </c>
      <c r="I601">
        <v>750</v>
      </c>
      <c r="J601">
        <v>75</v>
      </c>
      <c r="K601">
        <v>2175</v>
      </c>
      <c r="L601">
        <v>1290</v>
      </c>
      <c r="M601">
        <v>885</v>
      </c>
      <c r="N601" t="s">
        <v>573</v>
      </c>
      <c r="O601" t="s">
        <v>266</v>
      </c>
      <c r="P601" t="s">
        <v>8</v>
      </c>
      <c r="Q601" t="s">
        <v>585</v>
      </c>
      <c r="R601" s="14">
        <v>0.40689655172413802</v>
      </c>
    </row>
    <row r="602" spans="1:18" hidden="1" x14ac:dyDescent="0.3">
      <c r="A602" t="s">
        <v>1178</v>
      </c>
      <c r="B602" s="1">
        <v>46159</v>
      </c>
      <c r="C602" t="s">
        <v>1237</v>
      </c>
      <c r="D602" t="s">
        <v>127</v>
      </c>
      <c r="E602" t="s">
        <v>393</v>
      </c>
      <c r="F602" s="2" t="s">
        <v>394</v>
      </c>
      <c r="G602" t="s">
        <v>371</v>
      </c>
      <c r="H602">
        <v>1</v>
      </c>
      <c r="I602">
        <v>1150</v>
      </c>
      <c r="J602">
        <v>50</v>
      </c>
      <c r="K602">
        <v>1100</v>
      </c>
      <c r="L602">
        <v>700</v>
      </c>
      <c r="M602">
        <v>400</v>
      </c>
      <c r="N602" t="s">
        <v>576</v>
      </c>
      <c r="O602" t="s">
        <v>269</v>
      </c>
      <c r="P602" t="s">
        <v>8</v>
      </c>
      <c r="Q602" t="s">
        <v>574</v>
      </c>
      <c r="R602" s="14">
        <v>0.36363636363636398</v>
      </c>
    </row>
    <row r="603" spans="1:18" hidden="1" x14ac:dyDescent="0.3">
      <c r="A603" t="s">
        <v>1179</v>
      </c>
      <c r="B603" s="1">
        <v>46224</v>
      </c>
      <c r="C603" t="s">
        <v>1232</v>
      </c>
      <c r="D603" t="s">
        <v>173</v>
      </c>
      <c r="E603" t="s">
        <v>387</v>
      </c>
      <c r="F603" s="2" t="s">
        <v>388</v>
      </c>
      <c r="G603" t="s">
        <v>347</v>
      </c>
      <c r="H603">
        <v>1</v>
      </c>
      <c r="I603">
        <v>850</v>
      </c>
      <c r="J603">
        <v>0</v>
      </c>
      <c r="K603">
        <v>850</v>
      </c>
      <c r="L603">
        <v>520</v>
      </c>
      <c r="M603">
        <v>330</v>
      </c>
      <c r="N603" t="s">
        <v>567</v>
      </c>
      <c r="O603" t="s">
        <v>269</v>
      </c>
      <c r="P603" t="s">
        <v>13</v>
      </c>
      <c r="Q603" t="s">
        <v>568</v>
      </c>
      <c r="R603" s="14">
        <v>0.38823529411764701</v>
      </c>
    </row>
    <row r="604" spans="1:18" x14ac:dyDescent="0.3">
      <c r="A604" t="s">
        <v>1180</v>
      </c>
      <c r="B604" s="1">
        <v>46259</v>
      </c>
      <c r="C604" t="s">
        <v>1236</v>
      </c>
      <c r="D604" t="s">
        <v>247</v>
      </c>
      <c r="E604" t="s">
        <v>360</v>
      </c>
      <c r="F604" s="2" t="s">
        <v>361</v>
      </c>
      <c r="G604" t="s">
        <v>362</v>
      </c>
      <c r="H604">
        <v>1</v>
      </c>
      <c r="I604">
        <v>1100</v>
      </c>
      <c r="J604">
        <v>0</v>
      </c>
      <c r="K604">
        <v>1100</v>
      </c>
      <c r="L604">
        <v>680</v>
      </c>
      <c r="M604">
        <v>420</v>
      </c>
      <c r="N604" t="s">
        <v>573</v>
      </c>
      <c r="O604" t="s">
        <v>266</v>
      </c>
      <c r="P604" t="s">
        <v>8</v>
      </c>
      <c r="Q604" t="s">
        <v>585</v>
      </c>
      <c r="R604" s="14">
        <v>0.381818181818182</v>
      </c>
    </row>
    <row r="605" spans="1:18" hidden="1" x14ac:dyDescent="0.3">
      <c r="A605" t="s">
        <v>1181</v>
      </c>
      <c r="B605" s="1">
        <v>46191</v>
      </c>
      <c r="C605" t="s">
        <v>1233</v>
      </c>
      <c r="D605" t="s">
        <v>57</v>
      </c>
      <c r="E605" t="s">
        <v>396</v>
      </c>
      <c r="F605" s="2" t="s">
        <v>397</v>
      </c>
      <c r="G605" t="s">
        <v>376</v>
      </c>
      <c r="H605">
        <v>1</v>
      </c>
      <c r="I605">
        <v>600</v>
      </c>
      <c r="J605">
        <v>0</v>
      </c>
      <c r="K605">
        <v>600</v>
      </c>
      <c r="L605">
        <v>350</v>
      </c>
      <c r="M605">
        <v>250</v>
      </c>
      <c r="N605" t="s">
        <v>570</v>
      </c>
      <c r="O605" t="s">
        <v>266</v>
      </c>
      <c r="P605" t="s">
        <v>8</v>
      </c>
      <c r="Q605" t="s">
        <v>568</v>
      </c>
      <c r="R605" s="14">
        <v>0.41666666666666702</v>
      </c>
    </row>
    <row r="606" spans="1:18" hidden="1" x14ac:dyDescent="0.3">
      <c r="A606" t="s">
        <v>1182</v>
      </c>
      <c r="B606" s="1">
        <v>46195</v>
      </c>
      <c r="C606" t="s">
        <v>1233</v>
      </c>
      <c r="D606" t="s">
        <v>21</v>
      </c>
      <c r="E606" t="s">
        <v>393</v>
      </c>
      <c r="F606" s="2" t="s">
        <v>394</v>
      </c>
      <c r="G606" t="s">
        <v>371</v>
      </c>
      <c r="H606">
        <v>1</v>
      </c>
      <c r="I606">
        <v>1150</v>
      </c>
      <c r="J606">
        <v>75</v>
      </c>
      <c r="K606">
        <v>1075</v>
      </c>
      <c r="L606">
        <v>700</v>
      </c>
      <c r="M606">
        <v>375</v>
      </c>
      <c r="N606" t="s">
        <v>573</v>
      </c>
      <c r="O606" t="s">
        <v>266</v>
      </c>
      <c r="P606" t="s">
        <v>8</v>
      </c>
      <c r="Q606" t="s">
        <v>585</v>
      </c>
      <c r="R606" s="14">
        <v>0.34883720930232598</v>
      </c>
    </row>
    <row r="607" spans="1:18" hidden="1" x14ac:dyDescent="0.3">
      <c r="A607" t="s">
        <v>1183</v>
      </c>
      <c r="B607" s="1">
        <v>46097</v>
      </c>
      <c r="C607" t="s">
        <v>1230</v>
      </c>
      <c r="D607" t="s">
        <v>39</v>
      </c>
      <c r="E607" t="s">
        <v>350</v>
      </c>
      <c r="F607" s="2" t="s">
        <v>351</v>
      </c>
      <c r="G607" t="s">
        <v>352</v>
      </c>
      <c r="H607">
        <v>1</v>
      </c>
      <c r="I607">
        <v>900</v>
      </c>
      <c r="J607">
        <v>100</v>
      </c>
      <c r="K607">
        <v>800</v>
      </c>
      <c r="L607">
        <v>540</v>
      </c>
      <c r="M607">
        <v>260</v>
      </c>
      <c r="N607" t="s">
        <v>573</v>
      </c>
      <c r="O607" t="s">
        <v>269</v>
      </c>
      <c r="P607" t="s">
        <v>8</v>
      </c>
      <c r="Q607" t="s">
        <v>585</v>
      </c>
      <c r="R607" s="14">
        <v>0.32500000000000001</v>
      </c>
    </row>
    <row r="608" spans="1:18" hidden="1" x14ac:dyDescent="0.3">
      <c r="A608" t="s">
        <v>1184</v>
      </c>
      <c r="B608" s="1">
        <v>46130</v>
      </c>
      <c r="C608" t="s">
        <v>1231</v>
      </c>
      <c r="D608" t="s">
        <v>221</v>
      </c>
      <c r="E608" t="s">
        <v>393</v>
      </c>
      <c r="F608" s="2" t="s">
        <v>394</v>
      </c>
      <c r="G608" t="s">
        <v>371</v>
      </c>
      <c r="H608">
        <v>2</v>
      </c>
      <c r="I608">
        <v>1150</v>
      </c>
      <c r="J608">
        <v>0</v>
      </c>
      <c r="K608">
        <v>2300</v>
      </c>
      <c r="L608">
        <v>1400</v>
      </c>
      <c r="M608">
        <v>900</v>
      </c>
      <c r="N608" t="s">
        <v>579</v>
      </c>
      <c r="O608" t="s">
        <v>266</v>
      </c>
      <c r="P608" t="s">
        <v>13</v>
      </c>
      <c r="Q608" t="s">
        <v>574</v>
      </c>
      <c r="R608" s="14">
        <v>0.39130434782608697</v>
      </c>
    </row>
    <row r="609" spans="1:18" x14ac:dyDescent="0.3">
      <c r="A609" t="s">
        <v>1185</v>
      </c>
      <c r="B609" s="1">
        <v>46049</v>
      </c>
      <c r="C609" t="s">
        <v>1234</v>
      </c>
      <c r="D609" t="s">
        <v>165</v>
      </c>
      <c r="E609" t="s">
        <v>419</v>
      </c>
      <c r="F609" s="2" t="s">
        <v>420</v>
      </c>
      <c r="G609" t="s">
        <v>362</v>
      </c>
      <c r="H609">
        <v>1</v>
      </c>
      <c r="I609">
        <v>1350</v>
      </c>
      <c r="J609">
        <v>0</v>
      </c>
      <c r="K609">
        <v>1350</v>
      </c>
      <c r="L609">
        <v>850</v>
      </c>
      <c r="M609">
        <v>500</v>
      </c>
      <c r="N609" t="s">
        <v>576</v>
      </c>
      <c r="O609" t="s">
        <v>266</v>
      </c>
      <c r="P609" t="s">
        <v>13</v>
      </c>
      <c r="Q609" t="s">
        <v>585</v>
      </c>
      <c r="R609" s="14">
        <v>0.37037037037037002</v>
      </c>
    </row>
    <row r="610" spans="1:18" hidden="1" x14ac:dyDescent="0.3">
      <c r="A610" t="s">
        <v>1186</v>
      </c>
      <c r="B610" s="1">
        <v>46058</v>
      </c>
      <c r="C610" t="s">
        <v>1235</v>
      </c>
      <c r="D610" t="s">
        <v>177</v>
      </c>
      <c r="E610" t="s">
        <v>387</v>
      </c>
      <c r="F610" s="2" t="s">
        <v>388</v>
      </c>
      <c r="G610" t="s">
        <v>347</v>
      </c>
      <c r="H610">
        <v>1</v>
      </c>
      <c r="I610">
        <v>850</v>
      </c>
      <c r="J610">
        <v>0</v>
      </c>
      <c r="K610">
        <v>850</v>
      </c>
      <c r="L610">
        <v>520</v>
      </c>
      <c r="M610">
        <v>330</v>
      </c>
      <c r="N610" t="s">
        <v>567</v>
      </c>
      <c r="O610" t="s">
        <v>266</v>
      </c>
      <c r="P610" t="s">
        <v>8</v>
      </c>
      <c r="Q610" t="s">
        <v>568</v>
      </c>
      <c r="R610" s="14">
        <v>0.38823529411764701</v>
      </c>
    </row>
    <row r="611" spans="1:18" hidden="1" x14ac:dyDescent="0.3">
      <c r="A611" t="s">
        <v>1187</v>
      </c>
      <c r="B611" s="1">
        <v>46036</v>
      </c>
      <c r="C611" t="s">
        <v>1234</v>
      </c>
      <c r="D611" t="s">
        <v>155</v>
      </c>
      <c r="E611" t="s">
        <v>350</v>
      </c>
      <c r="F611" s="2" t="s">
        <v>351</v>
      </c>
      <c r="G611" t="s">
        <v>352</v>
      </c>
      <c r="H611">
        <v>1</v>
      </c>
      <c r="I611">
        <v>900</v>
      </c>
      <c r="J611">
        <v>0</v>
      </c>
      <c r="K611">
        <v>900</v>
      </c>
      <c r="L611">
        <v>540</v>
      </c>
      <c r="M611">
        <v>360</v>
      </c>
      <c r="N611" t="s">
        <v>567</v>
      </c>
      <c r="O611" t="s">
        <v>266</v>
      </c>
      <c r="P611" t="s">
        <v>13</v>
      </c>
      <c r="Q611" t="s">
        <v>568</v>
      </c>
      <c r="R611" s="14">
        <v>0.4</v>
      </c>
    </row>
    <row r="612" spans="1:18" hidden="1" x14ac:dyDescent="0.3">
      <c r="A612" t="s">
        <v>1188</v>
      </c>
      <c r="B612" s="1">
        <v>46202</v>
      </c>
      <c r="C612" t="s">
        <v>1233</v>
      </c>
      <c r="D612" t="s">
        <v>45</v>
      </c>
      <c r="E612" t="s">
        <v>415</v>
      </c>
      <c r="F612" s="2" t="s">
        <v>416</v>
      </c>
      <c r="G612" t="s">
        <v>347</v>
      </c>
      <c r="H612">
        <v>1</v>
      </c>
      <c r="I612">
        <v>1250</v>
      </c>
      <c r="J612">
        <v>50</v>
      </c>
      <c r="K612">
        <v>1200</v>
      </c>
      <c r="L612">
        <v>760</v>
      </c>
      <c r="M612">
        <v>440</v>
      </c>
      <c r="N612" t="s">
        <v>567</v>
      </c>
      <c r="O612" t="s">
        <v>266</v>
      </c>
      <c r="P612" t="s">
        <v>13</v>
      </c>
      <c r="Q612" t="s">
        <v>585</v>
      </c>
      <c r="R612" s="14">
        <v>0.36666666666666697</v>
      </c>
    </row>
    <row r="613" spans="1:18" hidden="1" x14ac:dyDescent="0.3">
      <c r="A613" t="s">
        <v>1189</v>
      </c>
      <c r="B613" s="1">
        <v>46047</v>
      </c>
      <c r="C613" t="s">
        <v>1234</v>
      </c>
      <c r="D613" t="s">
        <v>147</v>
      </c>
      <c r="E613" t="s">
        <v>393</v>
      </c>
      <c r="F613" s="2" t="s">
        <v>394</v>
      </c>
      <c r="G613" t="s">
        <v>371</v>
      </c>
      <c r="H613">
        <v>3</v>
      </c>
      <c r="I613">
        <v>1150</v>
      </c>
      <c r="J613">
        <v>20</v>
      </c>
      <c r="K613">
        <v>3430</v>
      </c>
      <c r="L613">
        <v>2100</v>
      </c>
      <c r="M613">
        <v>1330</v>
      </c>
      <c r="N613" t="s">
        <v>576</v>
      </c>
      <c r="O613" t="s">
        <v>266</v>
      </c>
      <c r="P613" t="s">
        <v>8</v>
      </c>
      <c r="Q613" t="s">
        <v>568</v>
      </c>
      <c r="R613" s="14">
        <v>0.38775510204081598</v>
      </c>
    </row>
    <row r="614" spans="1:18" hidden="1" x14ac:dyDescent="0.3">
      <c r="A614" t="s">
        <v>1190</v>
      </c>
      <c r="B614" s="1">
        <v>46067</v>
      </c>
      <c r="C614" t="s">
        <v>1235</v>
      </c>
      <c r="D614" t="s">
        <v>45</v>
      </c>
      <c r="E614" t="s">
        <v>345</v>
      </c>
      <c r="F614" s="2" t="s">
        <v>346</v>
      </c>
      <c r="G614" t="s">
        <v>347</v>
      </c>
      <c r="H614">
        <v>1</v>
      </c>
      <c r="I614">
        <v>700</v>
      </c>
      <c r="J614">
        <v>0</v>
      </c>
      <c r="K614">
        <v>700</v>
      </c>
      <c r="L614">
        <v>410</v>
      </c>
      <c r="M614">
        <v>290</v>
      </c>
      <c r="N614" t="s">
        <v>579</v>
      </c>
      <c r="O614" t="s">
        <v>269</v>
      </c>
      <c r="P614" t="s">
        <v>18</v>
      </c>
      <c r="Q614" t="s">
        <v>574</v>
      </c>
      <c r="R614" s="14">
        <v>0.41428571428571398</v>
      </c>
    </row>
    <row r="615" spans="1:18" hidden="1" x14ac:dyDescent="0.3">
      <c r="A615" t="s">
        <v>1191</v>
      </c>
      <c r="B615" s="1">
        <v>46133</v>
      </c>
      <c r="C615" t="s">
        <v>1231</v>
      </c>
      <c r="D615" t="s">
        <v>79</v>
      </c>
      <c r="E615" t="s">
        <v>366</v>
      </c>
      <c r="F615" s="2" t="s">
        <v>367</v>
      </c>
      <c r="G615" t="s">
        <v>352</v>
      </c>
      <c r="H615">
        <v>1</v>
      </c>
      <c r="I615">
        <v>1500</v>
      </c>
      <c r="J615">
        <v>0</v>
      </c>
      <c r="K615">
        <v>1500</v>
      </c>
      <c r="L615">
        <v>920</v>
      </c>
      <c r="M615">
        <v>580</v>
      </c>
      <c r="N615" t="s">
        <v>573</v>
      </c>
      <c r="O615" t="s">
        <v>269</v>
      </c>
      <c r="P615" t="s">
        <v>18</v>
      </c>
      <c r="Q615" t="s">
        <v>568</v>
      </c>
      <c r="R615" s="14">
        <v>0.38666666666666699</v>
      </c>
    </row>
    <row r="616" spans="1:18" x14ac:dyDescent="0.3">
      <c r="A616" t="s">
        <v>1192</v>
      </c>
      <c r="B616" s="1">
        <v>46170</v>
      </c>
      <c r="C616" t="s">
        <v>1237</v>
      </c>
      <c r="D616" t="s">
        <v>25</v>
      </c>
      <c r="E616" t="s">
        <v>419</v>
      </c>
      <c r="F616" s="2" t="s">
        <v>420</v>
      </c>
      <c r="G616" t="s">
        <v>362</v>
      </c>
      <c r="H616">
        <v>3</v>
      </c>
      <c r="I616">
        <v>1350</v>
      </c>
      <c r="J616">
        <v>50</v>
      </c>
      <c r="K616">
        <v>4000</v>
      </c>
      <c r="L616">
        <v>2550</v>
      </c>
      <c r="M616">
        <v>1450</v>
      </c>
      <c r="N616" t="s">
        <v>576</v>
      </c>
      <c r="O616" t="s">
        <v>266</v>
      </c>
      <c r="P616" t="s">
        <v>8</v>
      </c>
      <c r="Q616" t="s">
        <v>568</v>
      </c>
      <c r="R616" s="14">
        <v>0.36249999999999999</v>
      </c>
    </row>
    <row r="617" spans="1:18" x14ac:dyDescent="0.3">
      <c r="A617" t="s">
        <v>1193</v>
      </c>
      <c r="B617" s="1">
        <v>46208</v>
      </c>
      <c r="C617" t="s">
        <v>1232</v>
      </c>
      <c r="D617" t="s">
        <v>143</v>
      </c>
      <c r="E617" t="s">
        <v>360</v>
      </c>
      <c r="F617" s="2" t="s">
        <v>361</v>
      </c>
      <c r="G617" t="s">
        <v>362</v>
      </c>
      <c r="H617">
        <v>2</v>
      </c>
      <c r="I617">
        <v>1100</v>
      </c>
      <c r="J617">
        <v>20</v>
      </c>
      <c r="K617">
        <v>2180</v>
      </c>
      <c r="L617">
        <v>1360</v>
      </c>
      <c r="M617">
        <v>820</v>
      </c>
      <c r="N617" t="s">
        <v>567</v>
      </c>
      <c r="O617" t="s">
        <v>266</v>
      </c>
      <c r="P617" t="s">
        <v>8</v>
      </c>
      <c r="Q617" t="s">
        <v>568</v>
      </c>
      <c r="R617" s="14">
        <v>0.37614678899082599</v>
      </c>
    </row>
    <row r="618" spans="1:18" hidden="1" x14ac:dyDescent="0.3">
      <c r="A618" t="s">
        <v>1194</v>
      </c>
      <c r="B618" s="1">
        <v>46169</v>
      </c>
      <c r="C618" t="s">
        <v>1237</v>
      </c>
      <c r="D618" t="s">
        <v>219</v>
      </c>
      <c r="E618" t="s">
        <v>382</v>
      </c>
      <c r="F618" s="2" t="s">
        <v>383</v>
      </c>
      <c r="G618" t="s">
        <v>384</v>
      </c>
      <c r="H618">
        <v>1</v>
      </c>
      <c r="I618">
        <v>1200</v>
      </c>
      <c r="J618">
        <v>100</v>
      </c>
      <c r="K618">
        <v>1100</v>
      </c>
      <c r="L618">
        <v>730</v>
      </c>
      <c r="M618">
        <v>370</v>
      </c>
      <c r="N618" t="s">
        <v>570</v>
      </c>
      <c r="O618" t="s">
        <v>269</v>
      </c>
      <c r="P618" t="s">
        <v>13</v>
      </c>
      <c r="Q618" t="s">
        <v>585</v>
      </c>
      <c r="R618" s="14">
        <v>0.33636363636363598</v>
      </c>
    </row>
    <row r="619" spans="1:18" hidden="1" x14ac:dyDescent="0.3">
      <c r="A619" t="s">
        <v>1195</v>
      </c>
      <c r="B619" s="1">
        <v>46209</v>
      </c>
      <c r="C619" t="s">
        <v>1232</v>
      </c>
      <c r="D619" t="s">
        <v>239</v>
      </c>
      <c r="E619" t="s">
        <v>415</v>
      </c>
      <c r="F619" s="2" t="s">
        <v>416</v>
      </c>
      <c r="G619" t="s">
        <v>347</v>
      </c>
      <c r="H619">
        <v>4</v>
      </c>
      <c r="I619">
        <v>1250</v>
      </c>
      <c r="J619">
        <v>50</v>
      </c>
      <c r="K619">
        <v>4950</v>
      </c>
      <c r="L619">
        <v>3040</v>
      </c>
      <c r="M619">
        <v>1910</v>
      </c>
      <c r="N619" t="s">
        <v>579</v>
      </c>
      <c r="O619" t="s">
        <v>266</v>
      </c>
      <c r="P619" t="s">
        <v>8</v>
      </c>
      <c r="Q619" t="s">
        <v>568</v>
      </c>
      <c r="R619" s="14">
        <v>0.38585858585858601</v>
      </c>
    </row>
    <row r="620" spans="1:18" hidden="1" x14ac:dyDescent="0.3">
      <c r="A620" t="s">
        <v>1196</v>
      </c>
      <c r="B620" s="1">
        <v>46189</v>
      </c>
      <c r="C620" t="s">
        <v>1233</v>
      </c>
      <c r="D620" t="s">
        <v>241</v>
      </c>
      <c r="E620" t="s">
        <v>387</v>
      </c>
      <c r="F620" s="2" t="s">
        <v>388</v>
      </c>
      <c r="G620" t="s">
        <v>347</v>
      </c>
      <c r="H620">
        <v>1</v>
      </c>
      <c r="I620">
        <v>850</v>
      </c>
      <c r="J620">
        <v>50</v>
      </c>
      <c r="K620">
        <v>800</v>
      </c>
      <c r="L620">
        <v>520</v>
      </c>
      <c r="M620">
        <v>280</v>
      </c>
      <c r="N620" t="s">
        <v>570</v>
      </c>
      <c r="O620" t="s">
        <v>266</v>
      </c>
      <c r="P620" t="s">
        <v>13</v>
      </c>
      <c r="Q620" t="s">
        <v>568</v>
      </c>
      <c r="R620" s="14">
        <v>0.35</v>
      </c>
    </row>
    <row r="621" spans="1:18" hidden="1" x14ac:dyDescent="0.3">
      <c r="A621" t="s">
        <v>1197</v>
      </c>
      <c r="B621" s="1">
        <v>46072</v>
      </c>
      <c r="C621" t="s">
        <v>1235</v>
      </c>
      <c r="D621" t="s">
        <v>31</v>
      </c>
      <c r="E621" t="s">
        <v>341</v>
      </c>
      <c r="F621" s="2" t="s">
        <v>342</v>
      </c>
      <c r="G621" t="s">
        <v>343</v>
      </c>
      <c r="H621">
        <v>2</v>
      </c>
      <c r="I621">
        <v>750</v>
      </c>
      <c r="J621">
        <v>0</v>
      </c>
      <c r="K621">
        <v>1500</v>
      </c>
      <c r="L621">
        <v>860</v>
      </c>
      <c r="M621">
        <v>640</v>
      </c>
      <c r="N621" t="s">
        <v>573</v>
      </c>
      <c r="O621" t="s">
        <v>269</v>
      </c>
      <c r="P621" t="s">
        <v>18</v>
      </c>
      <c r="Q621" t="s">
        <v>571</v>
      </c>
      <c r="R621" s="14">
        <v>0.42666666666666703</v>
      </c>
    </row>
    <row r="622" spans="1:18" hidden="1" x14ac:dyDescent="0.3">
      <c r="A622" t="s">
        <v>1198</v>
      </c>
      <c r="B622" s="1">
        <v>46221</v>
      </c>
      <c r="C622" t="s">
        <v>1232</v>
      </c>
      <c r="D622" t="s">
        <v>9</v>
      </c>
      <c r="E622" t="s">
        <v>387</v>
      </c>
      <c r="F622" s="2" t="s">
        <v>388</v>
      </c>
      <c r="G622" t="s">
        <v>347</v>
      </c>
      <c r="H622">
        <v>2</v>
      </c>
      <c r="I622">
        <v>850</v>
      </c>
      <c r="J622">
        <v>50</v>
      </c>
      <c r="K622">
        <v>1650</v>
      </c>
      <c r="L622">
        <v>1040</v>
      </c>
      <c r="M622">
        <v>610</v>
      </c>
      <c r="N622" t="s">
        <v>579</v>
      </c>
      <c r="O622" t="s">
        <v>266</v>
      </c>
      <c r="P622" t="s">
        <v>18</v>
      </c>
      <c r="Q622" t="s">
        <v>568</v>
      </c>
      <c r="R622" s="14">
        <v>0.36969696969697002</v>
      </c>
    </row>
    <row r="623" spans="1:18" hidden="1" x14ac:dyDescent="0.3">
      <c r="A623" t="s">
        <v>1199</v>
      </c>
      <c r="B623" s="1">
        <v>46217</v>
      </c>
      <c r="C623" t="s">
        <v>1232</v>
      </c>
      <c r="D623" t="s">
        <v>31</v>
      </c>
      <c r="E623" t="s">
        <v>400</v>
      </c>
      <c r="F623" s="2" t="s">
        <v>401</v>
      </c>
      <c r="G623" t="s">
        <v>384</v>
      </c>
      <c r="H623">
        <v>1</v>
      </c>
      <c r="I623">
        <v>950</v>
      </c>
      <c r="J623">
        <v>100</v>
      </c>
      <c r="K623">
        <v>850</v>
      </c>
      <c r="L623">
        <v>570</v>
      </c>
      <c r="M623">
        <v>280</v>
      </c>
      <c r="N623" t="s">
        <v>570</v>
      </c>
      <c r="O623" t="s">
        <v>266</v>
      </c>
      <c r="P623" t="s">
        <v>18</v>
      </c>
      <c r="Q623" t="s">
        <v>574</v>
      </c>
      <c r="R623" s="14">
        <v>0.32941176470588202</v>
      </c>
    </row>
    <row r="624" spans="1:18" hidden="1" x14ac:dyDescent="0.3">
      <c r="A624" t="s">
        <v>1200</v>
      </c>
      <c r="B624" s="1">
        <v>46204</v>
      </c>
      <c r="C624" t="s">
        <v>1232</v>
      </c>
      <c r="D624" t="s">
        <v>67</v>
      </c>
      <c r="E624" t="s">
        <v>345</v>
      </c>
      <c r="F624" s="2" t="s">
        <v>346</v>
      </c>
      <c r="G624" t="s">
        <v>347</v>
      </c>
      <c r="H624">
        <v>2</v>
      </c>
      <c r="I624">
        <v>700</v>
      </c>
      <c r="J624">
        <v>0</v>
      </c>
      <c r="K624">
        <v>1400</v>
      </c>
      <c r="L624">
        <v>820</v>
      </c>
      <c r="M624">
        <v>580</v>
      </c>
      <c r="N624" t="s">
        <v>576</v>
      </c>
      <c r="O624" t="s">
        <v>266</v>
      </c>
      <c r="P624" t="s">
        <v>13</v>
      </c>
      <c r="Q624" t="s">
        <v>568</v>
      </c>
      <c r="R624" s="14">
        <v>0.41428571428571398</v>
      </c>
    </row>
    <row r="625" spans="1:18" hidden="1" x14ac:dyDescent="0.3">
      <c r="A625" t="s">
        <v>1201</v>
      </c>
      <c r="B625" s="1">
        <v>46099</v>
      </c>
      <c r="C625" t="s">
        <v>1230</v>
      </c>
      <c r="D625" t="s">
        <v>247</v>
      </c>
      <c r="E625" t="s">
        <v>369</v>
      </c>
      <c r="F625" s="2" t="s">
        <v>370</v>
      </c>
      <c r="G625" t="s">
        <v>371</v>
      </c>
      <c r="H625">
        <v>2</v>
      </c>
      <c r="I625">
        <v>1450</v>
      </c>
      <c r="J625">
        <v>0</v>
      </c>
      <c r="K625">
        <v>2900</v>
      </c>
      <c r="L625">
        <v>1800</v>
      </c>
      <c r="M625">
        <v>1100</v>
      </c>
      <c r="N625" t="s">
        <v>573</v>
      </c>
      <c r="O625" t="s">
        <v>266</v>
      </c>
      <c r="P625" t="s">
        <v>8</v>
      </c>
      <c r="Q625" t="s">
        <v>568</v>
      </c>
      <c r="R625" s="14">
        <v>0.37931034482758602</v>
      </c>
    </row>
    <row r="626" spans="1:18" x14ac:dyDescent="0.3">
      <c r="A626" t="s">
        <v>1202</v>
      </c>
      <c r="B626" s="1">
        <v>46234</v>
      </c>
      <c r="C626" t="s">
        <v>1232</v>
      </c>
      <c r="D626" t="s">
        <v>235</v>
      </c>
      <c r="E626" t="s">
        <v>419</v>
      </c>
      <c r="F626" s="2" t="s">
        <v>420</v>
      </c>
      <c r="G626" t="s">
        <v>362</v>
      </c>
      <c r="H626">
        <v>1</v>
      </c>
      <c r="I626">
        <v>1350</v>
      </c>
      <c r="J626">
        <v>50</v>
      </c>
      <c r="K626">
        <v>1300</v>
      </c>
      <c r="L626">
        <v>850</v>
      </c>
      <c r="M626">
        <v>450</v>
      </c>
      <c r="N626" t="s">
        <v>570</v>
      </c>
      <c r="O626" t="s">
        <v>269</v>
      </c>
      <c r="P626" t="s">
        <v>13</v>
      </c>
      <c r="Q626" t="s">
        <v>571</v>
      </c>
      <c r="R626" s="14">
        <v>0.34615384615384598</v>
      </c>
    </row>
    <row r="627" spans="1:18" hidden="1" x14ac:dyDescent="0.3">
      <c r="A627" t="s">
        <v>1203</v>
      </c>
      <c r="B627" s="1">
        <v>46095</v>
      </c>
      <c r="C627" t="s">
        <v>1230</v>
      </c>
      <c r="D627" t="s">
        <v>159</v>
      </c>
      <c r="E627" t="s">
        <v>369</v>
      </c>
      <c r="F627" s="2" t="s">
        <v>370</v>
      </c>
      <c r="G627" t="s">
        <v>371</v>
      </c>
      <c r="H627">
        <v>2</v>
      </c>
      <c r="I627">
        <v>1450</v>
      </c>
      <c r="J627">
        <v>20</v>
      </c>
      <c r="K627">
        <v>2880</v>
      </c>
      <c r="L627">
        <v>1800</v>
      </c>
      <c r="M627">
        <v>1080</v>
      </c>
      <c r="N627" t="s">
        <v>579</v>
      </c>
      <c r="O627" t="s">
        <v>269</v>
      </c>
      <c r="P627" t="s">
        <v>8</v>
      </c>
      <c r="Q627" t="s">
        <v>568</v>
      </c>
      <c r="R627" s="14">
        <v>0.375</v>
      </c>
    </row>
    <row r="628" spans="1:18" hidden="1" x14ac:dyDescent="0.3">
      <c r="A628" t="s">
        <v>1204</v>
      </c>
      <c r="B628" s="1">
        <v>46088</v>
      </c>
      <c r="C628" t="s">
        <v>1230</v>
      </c>
      <c r="D628" t="s">
        <v>137</v>
      </c>
      <c r="E628" t="s">
        <v>345</v>
      </c>
      <c r="F628" s="2" t="s">
        <v>346</v>
      </c>
      <c r="G628" t="s">
        <v>347</v>
      </c>
      <c r="H628">
        <v>2</v>
      </c>
      <c r="I628">
        <v>700</v>
      </c>
      <c r="J628">
        <v>20</v>
      </c>
      <c r="K628">
        <v>1380</v>
      </c>
      <c r="L628">
        <v>820</v>
      </c>
      <c r="M628">
        <v>560</v>
      </c>
      <c r="N628" t="s">
        <v>570</v>
      </c>
      <c r="O628" t="s">
        <v>266</v>
      </c>
      <c r="P628" t="s">
        <v>8</v>
      </c>
      <c r="Q628" t="s">
        <v>568</v>
      </c>
      <c r="R628" s="14">
        <v>0.405797101449275</v>
      </c>
    </row>
    <row r="629" spans="1:18" hidden="1" x14ac:dyDescent="0.3">
      <c r="A629" t="s">
        <v>1205</v>
      </c>
      <c r="B629" s="1">
        <v>46037</v>
      </c>
      <c r="C629" t="s">
        <v>1234</v>
      </c>
      <c r="D629" t="s">
        <v>31</v>
      </c>
      <c r="E629" t="s">
        <v>374</v>
      </c>
      <c r="F629" s="2" t="s">
        <v>375</v>
      </c>
      <c r="G629" t="s">
        <v>376</v>
      </c>
      <c r="H629">
        <v>2</v>
      </c>
      <c r="I629">
        <v>800</v>
      </c>
      <c r="J629">
        <v>20</v>
      </c>
      <c r="K629">
        <v>1580</v>
      </c>
      <c r="L629">
        <v>940</v>
      </c>
      <c r="M629">
        <v>640</v>
      </c>
      <c r="N629" t="s">
        <v>567</v>
      </c>
      <c r="O629" t="s">
        <v>266</v>
      </c>
      <c r="P629" t="s">
        <v>13</v>
      </c>
      <c r="Q629" t="s">
        <v>568</v>
      </c>
      <c r="R629" s="14">
        <v>0.40506329113924</v>
      </c>
    </row>
    <row r="630" spans="1:18" hidden="1" x14ac:dyDescent="0.3">
      <c r="A630" t="s">
        <v>1206</v>
      </c>
      <c r="B630" s="1">
        <v>46168</v>
      </c>
      <c r="C630" t="s">
        <v>1237</v>
      </c>
      <c r="D630" t="s">
        <v>183</v>
      </c>
      <c r="E630" t="s">
        <v>341</v>
      </c>
      <c r="F630" s="2" t="s">
        <v>342</v>
      </c>
      <c r="G630" t="s">
        <v>343</v>
      </c>
      <c r="H630">
        <v>1</v>
      </c>
      <c r="I630">
        <v>750</v>
      </c>
      <c r="J630">
        <v>0</v>
      </c>
      <c r="K630">
        <v>750</v>
      </c>
      <c r="L630">
        <v>430</v>
      </c>
      <c r="M630">
        <v>320</v>
      </c>
      <c r="N630" t="s">
        <v>579</v>
      </c>
      <c r="O630" t="s">
        <v>266</v>
      </c>
      <c r="P630" t="s">
        <v>8</v>
      </c>
      <c r="Q630" t="s">
        <v>568</v>
      </c>
      <c r="R630" s="14">
        <v>0.42666666666666703</v>
      </c>
    </row>
    <row r="631" spans="1:18" hidden="1" x14ac:dyDescent="0.3">
      <c r="A631" t="s">
        <v>1207</v>
      </c>
      <c r="B631" s="1">
        <v>46044</v>
      </c>
      <c r="C631" t="s">
        <v>1234</v>
      </c>
      <c r="D631" t="s">
        <v>163</v>
      </c>
      <c r="E631" t="s">
        <v>400</v>
      </c>
      <c r="F631" s="2" t="s">
        <v>401</v>
      </c>
      <c r="G631" t="s">
        <v>384</v>
      </c>
      <c r="H631">
        <v>3</v>
      </c>
      <c r="I631">
        <v>950</v>
      </c>
      <c r="J631">
        <v>100</v>
      </c>
      <c r="K631">
        <v>2750</v>
      </c>
      <c r="L631">
        <v>1710</v>
      </c>
      <c r="M631">
        <v>1040</v>
      </c>
      <c r="N631" t="s">
        <v>567</v>
      </c>
      <c r="O631" t="s">
        <v>266</v>
      </c>
      <c r="P631" t="s">
        <v>13</v>
      </c>
      <c r="Q631" t="s">
        <v>568</v>
      </c>
      <c r="R631" s="14">
        <v>0.37818181818181801</v>
      </c>
    </row>
    <row r="632" spans="1:18" hidden="1" x14ac:dyDescent="0.3">
      <c r="A632" t="s">
        <v>1208</v>
      </c>
      <c r="B632" s="1">
        <v>46217</v>
      </c>
      <c r="C632" t="s">
        <v>1232</v>
      </c>
      <c r="D632" t="s">
        <v>53</v>
      </c>
      <c r="E632" t="s">
        <v>366</v>
      </c>
      <c r="F632" s="2" t="s">
        <v>367</v>
      </c>
      <c r="G632" t="s">
        <v>352</v>
      </c>
      <c r="H632">
        <v>2</v>
      </c>
      <c r="I632">
        <v>1500</v>
      </c>
      <c r="J632">
        <v>100</v>
      </c>
      <c r="K632">
        <v>2900</v>
      </c>
      <c r="L632">
        <v>1840</v>
      </c>
      <c r="M632">
        <v>1060</v>
      </c>
      <c r="N632" t="s">
        <v>567</v>
      </c>
      <c r="O632" t="s">
        <v>269</v>
      </c>
      <c r="P632" t="s">
        <v>18</v>
      </c>
      <c r="Q632" t="s">
        <v>585</v>
      </c>
      <c r="R632" s="14">
        <v>0.36551724137931002</v>
      </c>
    </row>
    <row r="633" spans="1:18" hidden="1" x14ac:dyDescent="0.3">
      <c r="A633" t="s">
        <v>1209</v>
      </c>
      <c r="B633" s="1">
        <v>46245</v>
      </c>
      <c r="C633" t="s">
        <v>1236</v>
      </c>
      <c r="D633" t="s">
        <v>163</v>
      </c>
      <c r="E633" t="s">
        <v>341</v>
      </c>
      <c r="F633" s="2" t="s">
        <v>342</v>
      </c>
      <c r="G633" t="s">
        <v>343</v>
      </c>
      <c r="H633">
        <v>2</v>
      </c>
      <c r="I633">
        <v>750</v>
      </c>
      <c r="J633">
        <v>20</v>
      </c>
      <c r="K633">
        <v>1480</v>
      </c>
      <c r="L633">
        <v>860</v>
      </c>
      <c r="M633">
        <v>620</v>
      </c>
      <c r="N633" t="s">
        <v>576</v>
      </c>
      <c r="O633" t="s">
        <v>266</v>
      </c>
      <c r="P633" t="s">
        <v>13</v>
      </c>
      <c r="Q633" t="s">
        <v>574</v>
      </c>
      <c r="R633" s="14">
        <v>0.41891891891891903</v>
      </c>
    </row>
    <row r="634" spans="1:18" hidden="1" x14ac:dyDescent="0.3">
      <c r="A634" t="s">
        <v>1210</v>
      </c>
      <c r="B634" s="1">
        <v>46037</v>
      </c>
      <c r="C634" t="s">
        <v>1234</v>
      </c>
      <c r="D634" t="s">
        <v>95</v>
      </c>
      <c r="E634" t="s">
        <v>396</v>
      </c>
      <c r="F634" s="2" t="s">
        <v>397</v>
      </c>
      <c r="G634" t="s">
        <v>376</v>
      </c>
      <c r="H634">
        <v>1</v>
      </c>
      <c r="I634">
        <v>600</v>
      </c>
      <c r="J634">
        <v>0</v>
      </c>
      <c r="K634">
        <v>600</v>
      </c>
      <c r="L634">
        <v>350</v>
      </c>
      <c r="M634">
        <v>250</v>
      </c>
      <c r="N634" t="s">
        <v>573</v>
      </c>
      <c r="O634" t="s">
        <v>269</v>
      </c>
      <c r="P634" t="s">
        <v>8</v>
      </c>
      <c r="Q634" t="s">
        <v>585</v>
      </c>
      <c r="R634" s="14">
        <v>0.41666666666666702</v>
      </c>
    </row>
    <row r="635" spans="1:18" hidden="1" x14ac:dyDescent="0.3">
      <c r="A635" t="s">
        <v>1211</v>
      </c>
      <c r="B635" s="1">
        <v>46109</v>
      </c>
      <c r="C635" t="s">
        <v>1230</v>
      </c>
      <c r="D635" t="s">
        <v>215</v>
      </c>
      <c r="E635" t="s">
        <v>345</v>
      </c>
      <c r="F635" s="2" t="s">
        <v>346</v>
      </c>
      <c r="G635" t="s">
        <v>347</v>
      </c>
      <c r="H635">
        <v>1</v>
      </c>
      <c r="I635">
        <v>700</v>
      </c>
      <c r="J635">
        <v>75</v>
      </c>
      <c r="K635">
        <v>625</v>
      </c>
      <c r="L635">
        <v>410</v>
      </c>
      <c r="M635">
        <v>215</v>
      </c>
      <c r="N635" t="s">
        <v>570</v>
      </c>
      <c r="O635" t="s">
        <v>266</v>
      </c>
      <c r="P635" t="s">
        <v>18</v>
      </c>
      <c r="Q635" t="s">
        <v>585</v>
      </c>
      <c r="R635" s="14">
        <v>0.34399999999999997</v>
      </c>
    </row>
    <row r="636" spans="1:18" hidden="1" x14ac:dyDescent="0.3">
      <c r="A636" t="s">
        <v>1212</v>
      </c>
      <c r="B636" s="1">
        <v>46105</v>
      </c>
      <c r="C636" t="s">
        <v>1230</v>
      </c>
      <c r="D636" t="s">
        <v>227</v>
      </c>
      <c r="E636" t="s">
        <v>341</v>
      </c>
      <c r="F636" s="2" t="s">
        <v>342</v>
      </c>
      <c r="G636" t="s">
        <v>343</v>
      </c>
      <c r="H636">
        <v>2</v>
      </c>
      <c r="I636">
        <v>750</v>
      </c>
      <c r="J636">
        <v>20</v>
      </c>
      <c r="K636">
        <v>1480</v>
      </c>
      <c r="L636">
        <v>860</v>
      </c>
      <c r="M636">
        <v>620</v>
      </c>
      <c r="N636" t="s">
        <v>567</v>
      </c>
      <c r="O636" t="s">
        <v>269</v>
      </c>
      <c r="P636" t="s">
        <v>18</v>
      </c>
      <c r="Q636" t="s">
        <v>585</v>
      </c>
      <c r="R636" s="14">
        <v>0.41891891891891903</v>
      </c>
    </row>
    <row r="637" spans="1:18" hidden="1" x14ac:dyDescent="0.3">
      <c r="A637" t="s">
        <v>1213</v>
      </c>
      <c r="B637" s="1">
        <v>46044</v>
      </c>
      <c r="C637" t="s">
        <v>1234</v>
      </c>
      <c r="D637" t="s">
        <v>139</v>
      </c>
      <c r="E637" t="s">
        <v>366</v>
      </c>
      <c r="F637" s="2" t="s">
        <v>367</v>
      </c>
      <c r="G637" t="s">
        <v>352</v>
      </c>
      <c r="H637">
        <v>1</v>
      </c>
      <c r="I637">
        <v>1500</v>
      </c>
      <c r="J637">
        <v>20</v>
      </c>
      <c r="K637">
        <v>1480</v>
      </c>
      <c r="L637">
        <v>920</v>
      </c>
      <c r="M637">
        <v>560</v>
      </c>
      <c r="N637" t="s">
        <v>567</v>
      </c>
      <c r="O637" t="s">
        <v>269</v>
      </c>
      <c r="P637" t="s">
        <v>18</v>
      </c>
      <c r="Q637" t="s">
        <v>568</v>
      </c>
      <c r="R637" s="14">
        <v>0.37837837837837801</v>
      </c>
    </row>
    <row r="638" spans="1:18" x14ac:dyDescent="0.3">
      <c r="A638" t="s">
        <v>1214</v>
      </c>
      <c r="B638" s="1">
        <v>46118</v>
      </c>
      <c r="C638" t="s">
        <v>1231</v>
      </c>
      <c r="D638" t="s">
        <v>157</v>
      </c>
      <c r="E638" t="s">
        <v>360</v>
      </c>
      <c r="F638" s="2" t="s">
        <v>361</v>
      </c>
      <c r="G638" t="s">
        <v>362</v>
      </c>
      <c r="H638">
        <v>1</v>
      </c>
      <c r="I638">
        <v>1100</v>
      </c>
      <c r="J638">
        <v>0</v>
      </c>
      <c r="K638">
        <v>1100</v>
      </c>
      <c r="L638">
        <v>680</v>
      </c>
      <c r="M638">
        <v>420</v>
      </c>
      <c r="N638" t="s">
        <v>570</v>
      </c>
      <c r="O638" t="s">
        <v>269</v>
      </c>
      <c r="P638" t="s">
        <v>8</v>
      </c>
      <c r="Q638" t="s">
        <v>585</v>
      </c>
      <c r="R638" s="14">
        <v>0.381818181818182</v>
      </c>
    </row>
    <row r="639" spans="1:18" hidden="1" x14ac:dyDescent="0.3">
      <c r="A639" t="s">
        <v>1215</v>
      </c>
      <c r="B639" s="1">
        <v>46149</v>
      </c>
      <c r="C639" t="s">
        <v>1237</v>
      </c>
      <c r="D639" t="s">
        <v>123</v>
      </c>
      <c r="E639" t="s">
        <v>415</v>
      </c>
      <c r="F639" s="2" t="s">
        <v>416</v>
      </c>
      <c r="G639" t="s">
        <v>347</v>
      </c>
      <c r="H639">
        <v>3</v>
      </c>
      <c r="I639">
        <v>1250</v>
      </c>
      <c r="J639">
        <v>20</v>
      </c>
      <c r="K639">
        <v>3730</v>
      </c>
      <c r="L639">
        <v>2280</v>
      </c>
      <c r="M639">
        <v>1450</v>
      </c>
      <c r="N639" t="s">
        <v>567</v>
      </c>
      <c r="O639" t="s">
        <v>269</v>
      </c>
      <c r="P639" t="s">
        <v>13</v>
      </c>
      <c r="Q639" t="s">
        <v>568</v>
      </c>
      <c r="R639" s="14">
        <v>0.38873994638069698</v>
      </c>
    </row>
    <row r="640" spans="1:18" hidden="1" x14ac:dyDescent="0.3">
      <c r="A640" t="s">
        <v>1216</v>
      </c>
      <c r="B640" s="1">
        <v>46134</v>
      </c>
      <c r="C640" t="s">
        <v>1231</v>
      </c>
      <c r="D640" t="s">
        <v>109</v>
      </c>
      <c r="E640" t="s">
        <v>366</v>
      </c>
      <c r="F640" s="2" t="s">
        <v>367</v>
      </c>
      <c r="G640" t="s">
        <v>352</v>
      </c>
      <c r="H640">
        <v>3</v>
      </c>
      <c r="I640">
        <v>1500</v>
      </c>
      <c r="J640">
        <v>20</v>
      </c>
      <c r="K640">
        <v>4480</v>
      </c>
      <c r="L640">
        <v>2760</v>
      </c>
      <c r="M640">
        <v>1720</v>
      </c>
      <c r="N640" t="s">
        <v>573</v>
      </c>
      <c r="O640" t="s">
        <v>269</v>
      </c>
      <c r="P640" t="s">
        <v>18</v>
      </c>
      <c r="Q640" t="s">
        <v>574</v>
      </c>
      <c r="R640" s="14">
        <v>0.38392857142857101</v>
      </c>
    </row>
    <row r="641" spans="1:18" hidden="1" x14ac:dyDescent="0.3">
      <c r="A641" t="s">
        <v>1217</v>
      </c>
      <c r="B641" s="1">
        <v>46095</v>
      </c>
      <c r="C641" t="s">
        <v>1230</v>
      </c>
      <c r="D641" t="s">
        <v>85</v>
      </c>
      <c r="E641" t="s">
        <v>350</v>
      </c>
      <c r="F641" s="2" t="s">
        <v>351</v>
      </c>
      <c r="G641" t="s">
        <v>352</v>
      </c>
      <c r="H641">
        <v>2</v>
      </c>
      <c r="I641">
        <v>900</v>
      </c>
      <c r="J641">
        <v>50</v>
      </c>
      <c r="K641">
        <v>1750</v>
      </c>
      <c r="L641">
        <v>1080</v>
      </c>
      <c r="M641">
        <v>670</v>
      </c>
      <c r="N641" t="s">
        <v>576</v>
      </c>
      <c r="O641" t="s">
        <v>269</v>
      </c>
      <c r="P641" t="s">
        <v>8</v>
      </c>
      <c r="Q641" t="s">
        <v>571</v>
      </c>
      <c r="R641" s="14">
        <v>0.38285714285714301</v>
      </c>
    </row>
    <row r="642" spans="1:18" hidden="1" x14ac:dyDescent="0.3">
      <c r="A642" t="s">
        <v>1218</v>
      </c>
      <c r="B642" s="1">
        <v>46210</v>
      </c>
      <c r="C642" t="s">
        <v>1232</v>
      </c>
      <c r="D642" t="s">
        <v>121</v>
      </c>
      <c r="E642" t="s">
        <v>393</v>
      </c>
      <c r="F642" s="2" t="s">
        <v>394</v>
      </c>
      <c r="G642" t="s">
        <v>371</v>
      </c>
      <c r="H642">
        <v>2</v>
      </c>
      <c r="I642">
        <v>1150</v>
      </c>
      <c r="J642">
        <v>0</v>
      </c>
      <c r="K642">
        <v>2300</v>
      </c>
      <c r="L642">
        <v>1400</v>
      </c>
      <c r="M642">
        <v>900</v>
      </c>
      <c r="N642" t="s">
        <v>576</v>
      </c>
      <c r="O642" t="s">
        <v>266</v>
      </c>
      <c r="P642" t="s">
        <v>18</v>
      </c>
      <c r="Q642" t="s">
        <v>574</v>
      </c>
      <c r="R642" s="14">
        <v>0.39130434782608697</v>
      </c>
    </row>
    <row r="643" spans="1:18" x14ac:dyDescent="0.3">
      <c r="A643" t="s">
        <v>1219</v>
      </c>
      <c r="B643" s="1">
        <v>46222</v>
      </c>
      <c r="C643" t="s">
        <v>1232</v>
      </c>
      <c r="D643" t="s">
        <v>91</v>
      </c>
      <c r="E643" t="s">
        <v>419</v>
      </c>
      <c r="F643" s="2" t="s">
        <v>420</v>
      </c>
      <c r="G643" t="s">
        <v>362</v>
      </c>
      <c r="H643">
        <v>1</v>
      </c>
      <c r="I643">
        <v>1350</v>
      </c>
      <c r="J643">
        <v>0</v>
      </c>
      <c r="K643">
        <v>1350</v>
      </c>
      <c r="L643">
        <v>850</v>
      </c>
      <c r="M643">
        <v>500</v>
      </c>
      <c r="N643" t="s">
        <v>579</v>
      </c>
      <c r="O643" t="s">
        <v>266</v>
      </c>
      <c r="P643" t="s">
        <v>18</v>
      </c>
      <c r="Q643" t="s">
        <v>574</v>
      </c>
      <c r="R643" s="14">
        <v>0.37037037037037002</v>
      </c>
    </row>
    <row r="644" spans="1:18" hidden="1" x14ac:dyDescent="0.3">
      <c r="A644" t="s">
        <v>1220</v>
      </c>
      <c r="B644" s="1">
        <v>46206</v>
      </c>
      <c r="C644" t="s">
        <v>1232</v>
      </c>
      <c r="D644" t="s">
        <v>173</v>
      </c>
      <c r="E644" t="s">
        <v>393</v>
      </c>
      <c r="F644" s="2" t="s">
        <v>394</v>
      </c>
      <c r="G644" t="s">
        <v>371</v>
      </c>
      <c r="H644">
        <v>1</v>
      </c>
      <c r="I644">
        <v>1150</v>
      </c>
      <c r="J644">
        <v>50</v>
      </c>
      <c r="K644">
        <v>1100</v>
      </c>
      <c r="L644">
        <v>700</v>
      </c>
      <c r="M644">
        <v>400</v>
      </c>
      <c r="N644" t="s">
        <v>570</v>
      </c>
      <c r="O644" t="s">
        <v>266</v>
      </c>
      <c r="P644" t="s">
        <v>18</v>
      </c>
      <c r="Q644" t="s">
        <v>574</v>
      </c>
      <c r="R644" s="14">
        <v>0.36363636363636398</v>
      </c>
    </row>
    <row r="645" spans="1:18" hidden="1" x14ac:dyDescent="0.3">
      <c r="A645" t="s">
        <v>1221</v>
      </c>
      <c r="B645" s="1">
        <v>46033</v>
      </c>
      <c r="C645" t="s">
        <v>1234</v>
      </c>
      <c r="D645" t="s">
        <v>83</v>
      </c>
      <c r="E645" t="s">
        <v>396</v>
      </c>
      <c r="F645" s="2" t="s">
        <v>397</v>
      </c>
      <c r="G645" t="s">
        <v>376</v>
      </c>
      <c r="H645">
        <v>1</v>
      </c>
      <c r="I645">
        <v>600</v>
      </c>
      <c r="J645">
        <v>0</v>
      </c>
      <c r="K645">
        <v>600</v>
      </c>
      <c r="L645">
        <v>350</v>
      </c>
      <c r="M645">
        <v>250</v>
      </c>
      <c r="N645" t="s">
        <v>579</v>
      </c>
      <c r="O645" t="s">
        <v>269</v>
      </c>
      <c r="P645" t="s">
        <v>18</v>
      </c>
      <c r="Q645" t="s">
        <v>574</v>
      </c>
      <c r="R645" s="14">
        <v>0.41666666666666702</v>
      </c>
    </row>
    <row r="646" spans="1:18" hidden="1" x14ac:dyDescent="0.3">
      <c r="A646" t="s">
        <v>1222</v>
      </c>
      <c r="B646" s="1">
        <v>46242</v>
      </c>
      <c r="C646" t="s">
        <v>1236</v>
      </c>
      <c r="D646" t="s">
        <v>137</v>
      </c>
      <c r="E646" t="s">
        <v>396</v>
      </c>
      <c r="F646" s="2" t="s">
        <v>397</v>
      </c>
      <c r="G646" t="s">
        <v>376</v>
      </c>
      <c r="H646">
        <v>2</v>
      </c>
      <c r="I646">
        <v>600</v>
      </c>
      <c r="J646">
        <v>50</v>
      </c>
      <c r="K646">
        <v>1150</v>
      </c>
      <c r="L646">
        <v>700</v>
      </c>
      <c r="M646">
        <v>450</v>
      </c>
      <c r="N646" t="s">
        <v>570</v>
      </c>
      <c r="O646" t="s">
        <v>266</v>
      </c>
      <c r="P646" t="s">
        <v>18</v>
      </c>
      <c r="Q646" t="s">
        <v>568</v>
      </c>
      <c r="R646" s="14">
        <v>0.39130434782608697</v>
      </c>
    </row>
    <row r="647" spans="1:18" hidden="1" x14ac:dyDescent="0.3">
      <c r="A647" t="s">
        <v>1223</v>
      </c>
      <c r="B647" s="1">
        <v>46083</v>
      </c>
      <c r="C647" t="s">
        <v>1230</v>
      </c>
      <c r="D647" t="s">
        <v>143</v>
      </c>
      <c r="E647" t="s">
        <v>374</v>
      </c>
      <c r="F647" s="2" t="s">
        <v>375</v>
      </c>
      <c r="G647" t="s">
        <v>376</v>
      </c>
      <c r="H647">
        <v>1</v>
      </c>
      <c r="I647">
        <v>800</v>
      </c>
      <c r="J647">
        <v>50</v>
      </c>
      <c r="K647">
        <v>750</v>
      </c>
      <c r="L647">
        <v>470</v>
      </c>
      <c r="M647">
        <v>280</v>
      </c>
      <c r="N647" t="s">
        <v>573</v>
      </c>
      <c r="O647" t="s">
        <v>266</v>
      </c>
      <c r="P647" t="s">
        <v>8</v>
      </c>
      <c r="Q647" t="s">
        <v>585</v>
      </c>
      <c r="R647" s="14">
        <v>0.37333333333333302</v>
      </c>
    </row>
    <row r="648" spans="1:18" hidden="1" x14ac:dyDescent="0.3">
      <c r="A648" t="s">
        <v>1224</v>
      </c>
      <c r="B648" s="1">
        <v>46068</v>
      </c>
      <c r="C648" t="s">
        <v>1235</v>
      </c>
      <c r="D648" t="s">
        <v>113</v>
      </c>
      <c r="E648" t="s">
        <v>350</v>
      </c>
      <c r="F648" s="2" t="s">
        <v>351</v>
      </c>
      <c r="G648" t="s">
        <v>352</v>
      </c>
      <c r="H648">
        <v>1</v>
      </c>
      <c r="I648">
        <v>900</v>
      </c>
      <c r="J648">
        <v>75</v>
      </c>
      <c r="K648">
        <v>825</v>
      </c>
      <c r="L648">
        <v>540</v>
      </c>
      <c r="M648">
        <v>285</v>
      </c>
      <c r="N648" t="s">
        <v>573</v>
      </c>
      <c r="O648" t="s">
        <v>269</v>
      </c>
      <c r="P648" t="s">
        <v>13</v>
      </c>
      <c r="Q648" t="s">
        <v>585</v>
      </c>
      <c r="R648" s="14">
        <v>0.34545454545454501</v>
      </c>
    </row>
    <row r="649" spans="1:18" x14ac:dyDescent="0.3">
      <c r="A649" t="s">
        <v>1225</v>
      </c>
      <c r="B649" s="1">
        <v>46097</v>
      </c>
      <c r="C649" t="s">
        <v>1230</v>
      </c>
      <c r="D649" t="s">
        <v>199</v>
      </c>
      <c r="E649" t="s">
        <v>419</v>
      </c>
      <c r="F649" s="2" t="s">
        <v>420</v>
      </c>
      <c r="G649" t="s">
        <v>362</v>
      </c>
      <c r="H649">
        <v>1</v>
      </c>
      <c r="I649">
        <v>1350</v>
      </c>
      <c r="J649">
        <v>50</v>
      </c>
      <c r="K649">
        <v>1300</v>
      </c>
      <c r="L649">
        <v>850</v>
      </c>
      <c r="M649">
        <v>450</v>
      </c>
      <c r="N649" t="s">
        <v>573</v>
      </c>
      <c r="O649" t="s">
        <v>269</v>
      </c>
      <c r="P649" t="s">
        <v>8</v>
      </c>
      <c r="Q649" t="s">
        <v>568</v>
      </c>
      <c r="R649" s="14">
        <v>0.34615384615384598</v>
      </c>
    </row>
    <row r="650" spans="1:18" hidden="1" x14ac:dyDescent="0.3">
      <c r="A650" t="s">
        <v>1226</v>
      </c>
      <c r="B650" s="1">
        <v>46045</v>
      </c>
      <c r="C650" t="s">
        <v>1234</v>
      </c>
      <c r="D650" t="s">
        <v>235</v>
      </c>
      <c r="E650" t="s">
        <v>350</v>
      </c>
      <c r="F650" s="2" t="s">
        <v>351</v>
      </c>
      <c r="G650" t="s">
        <v>352</v>
      </c>
      <c r="H650">
        <v>3</v>
      </c>
      <c r="I650">
        <v>900</v>
      </c>
      <c r="J650">
        <v>0</v>
      </c>
      <c r="K650">
        <v>2700</v>
      </c>
      <c r="L650">
        <v>1620</v>
      </c>
      <c r="M650">
        <v>1080</v>
      </c>
      <c r="N650" t="s">
        <v>576</v>
      </c>
      <c r="O650" t="s">
        <v>269</v>
      </c>
      <c r="P650" t="s">
        <v>18</v>
      </c>
      <c r="Q650" t="s">
        <v>568</v>
      </c>
      <c r="R650" s="14">
        <v>0.4</v>
      </c>
    </row>
    <row r="651" spans="1:18" hidden="1" x14ac:dyDescent="0.3">
      <c r="A651" t="s">
        <v>1227</v>
      </c>
      <c r="B651" s="1">
        <v>46186</v>
      </c>
      <c r="C651" t="s">
        <v>1233</v>
      </c>
      <c r="D651" t="s">
        <v>35</v>
      </c>
      <c r="E651" t="s">
        <v>382</v>
      </c>
      <c r="F651" s="2" t="s">
        <v>383</v>
      </c>
      <c r="G651" t="s">
        <v>384</v>
      </c>
      <c r="H651">
        <v>1</v>
      </c>
      <c r="I651">
        <v>1200</v>
      </c>
      <c r="J651">
        <v>0</v>
      </c>
      <c r="K651">
        <v>1200</v>
      </c>
      <c r="L651">
        <v>730</v>
      </c>
      <c r="M651">
        <v>470</v>
      </c>
      <c r="N651" t="s">
        <v>570</v>
      </c>
      <c r="O651" t="s">
        <v>266</v>
      </c>
      <c r="P651" t="s">
        <v>13</v>
      </c>
      <c r="Q651" t="s">
        <v>568</v>
      </c>
      <c r="R651" s="14">
        <v>0.391666666666667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64896-E851-4F71-BF3E-C1968DA6F98C}">
  <dimension ref="A1:I182"/>
  <sheetViews>
    <sheetView topLeftCell="A172" workbookViewId="0">
      <selection activeCell="I184" sqref="I184"/>
    </sheetView>
  </sheetViews>
  <sheetFormatPr defaultRowHeight="14.4" x14ac:dyDescent="0.3"/>
  <cols>
    <col min="1" max="1" width="13.109375" bestFit="1" customWidth="1"/>
    <col min="2" max="2" width="10.33203125" bestFit="1" customWidth="1"/>
    <col min="3" max="3" width="12.109375" bestFit="1" customWidth="1"/>
    <col min="4" max="4" width="14.21875" bestFit="1" customWidth="1"/>
    <col min="5" max="5" width="11.44140625" bestFit="1" customWidth="1"/>
    <col min="6" max="6" width="10.5546875" bestFit="1" customWidth="1"/>
    <col min="7" max="7" width="10.88671875" bestFit="1" customWidth="1"/>
    <col min="8" max="8" width="18.33203125" bestFit="1" customWidth="1"/>
    <col min="9" max="9" width="12.5546875" bestFit="1" customWidth="1"/>
  </cols>
  <sheetData>
    <row r="1" spans="1:9" x14ac:dyDescent="0.3">
      <c r="A1" t="s">
        <v>332</v>
      </c>
      <c r="B1" t="s">
        <v>260</v>
      </c>
      <c r="C1" t="s">
        <v>333</v>
      </c>
      <c r="D1" t="s">
        <v>334</v>
      </c>
      <c r="E1" t="s">
        <v>335</v>
      </c>
      <c r="F1" t="s">
        <v>336</v>
      </c>
      <c r="G1" t="s">
        <v>337</v>
      </c>
      <c r="H1" t="s">
        <v>338</v>
      </c>
      <c r="I1" t="s">
        <v>339</v>
      </c>
    </row>
    <row r="2" spans="1:9" x14ac:dyDescent="0.3">
      <c r="A2" t="s">
        <v>340</v>
      </c>
      <c r="B2" s="1">
        <v>46025</v>
      </c>
      <c r="C2" t="s">
        <v>341</v>
      </c>
      <c r="D2" t="s">
        <v>342</v>
      </c>
      <c r="E2" t="s">
        <v>343</v>
      </c>
      <c r="F2">
        <v>16</v>
      </c>
      <c r="G2">
        <v>398.65</v>
      </c>
      <c r="H2">
        <v>6378.4</v>
      </c>
      <c r="I2" t="s">
        <v>1238</v>
      </c>
    </row>
    <row r="3" spans="1:9" x14ac:dyDescent="0.3">
      <c r="A3" t="s">
        <v>344</v>
      </c>
      <c r="B3" s="1">
        <v>46208</v>
      </c>
      <c r="C3" t="s">
        <v>345</v>
      </c>
      <c r="D3" t="s">
        <v>346</v>
      </c>
      <c r="E3" t="s">
        <v>347</v>
      </c>
      <c r="F3">
        <v>16</v>
      </c>
      <c r="G3">
        <v>417.29</v>
      </c>
      <c r="H3">
        <v>6676.64</v>
      </c>
      <c r="I3" t="s">
        <v>348</v>
      </c>
    </row>
    <row r="4" spans="1:9" x14ac:dyDescent="0.3">
      <c r="A4" t="s">
        <v>349</v>
      </c>
      <c r="B4" s="1">
        <v>46145</v>
      </c>
      <c r="C4" t="s">
        <v>350</v>
      </c>
      <c r="D4" t="s">
        <v>351</v>
      </c>
      <c r="E4" t="s">
        <v>352</v>
      </c>
      <c r="F4">
        <v>30</v>
      </c>
      <c r="G4">
        <v>527.77</v>
      </c>
      <c r="H4">
        <v>15833.1</v>
      </c>
      <c r="I4" t="s">
        <v>353</v>
      </c>
    </row>
    <row r="5" spans="1:9" x14ac:dyDescent="0.3">
      <c r="A5" t="s">
        <v>354</v>
      </c>
      <c r="B5" s="1">
        <v>46238</v>
      </c>
      <c r="C5" t="s">
        <v>355</v>
      </c>
      <c r="D5" t="s">
        <v>356</v>
      </c>
      <c r="E5" t="s">
        <v>343</v>
      </c>
      <c r="F5">
        <v>21</v>
      </c>
      <c r="G5">
        <v>295.64</v>
      </c>
      <c r="H5">
        <v>6208.44</v>
      </c>
      <c r="I5" t="s">
        <v>353</v>
      </c>
    </row>
    <row r="6" spans="1:9" x14ac:dyDescent="0.3">
      <c r="A6" t="s">
        <v>357</v>
      </c>
      <c r="B6" s="1">
        <v>46207</v>
      </c>
      <c r="C6" t="s">
        <v>350</v>
      </c>
      <c r="D6" t="s">
        <v>351</v>
      </c>
      <c r="E6" t="s">
        <v>352</v>
      </c>
      <c r="F6">
        <v>10</v>
      </c>
      <c r="G6">
        <v>529.52</v>
      </c>
      <c r="H6">
        <v>5295.2</v>
      </c>
      <c r="I6" t="s">
        <v>358</v>
      </c>
    </row>
    <row r="7" spans="1:9" x14ac:dyDescent="0.3">
      <c r="A7" t="s">
        <v>359</v>
      </c>
      <c r="B7" s="1">
        <v>46189</v>
      </c>
      <c r="C7" t="s">
        <v>360</v>
      </c>
      <c r="D7" t="s">
        <v>361</v>
      </c>
      <c r="E7" t="s">
        <v>362</v>
      </c>
      <c r="F7">
        <v>20</v>
      </c>
      <c r="G7">
        <v>702.18</v>
      </c>
      <c r="H7">
        <v>14043.6</v>
      </c>
      <c r="I7" t="s">
        <v>363</v>
      </c>
    </row>
    <row r="8" spans="1:9" x14ac:dyDescent="0.3">
      <c r="A8" t="s">
        <v>364</v>
      </c>
      <c r="B8" s="1">
        <v>46031</v>
      </c>
      <c r="C8" t="s">
        <v>350</v>
      </c>
      <c r="D8" t="s">
        <v>351</v>
      </c>
      <c r="E8" t="s">
        <v>352</v>
      </c>
      <c r="F8">
        <v>23</v>
      </c>
      <c r="G8">
        <v>540.72</v>
      </c>
      <c r="H8">
        <v>12436.56</v>
      </c>
      <c r="I8" t="s">
        <v>353</v>
      </c>
    </row>
    <row r="9" spans="1:9" x14ac:dyDescent="0.3">
      <c r="A9" t="s">
        <v>365</v>
      </c>
      <c r="B9" s="1">
        <v>46237</v>
      </c>
      <c r="C9" t="s">
        <v>366</v>
      </c>
      <c r="D9" t="s">
        <v>367</v>
      </c>
      <c r="E9" t="s">
        <v>352</v>
      </c>
      <c r="F9">
        <v>26</v>
      </c>
      <c r="G9">
        <v>853.53</v>
      </c>
      <c r="H9">
        <v>22191.78</v>
      </c>
      <c r="I9" t="s">
        <v>358</v>
      </c>
    </row>
    <row r="10" spans="1:9" x14ac:dyDescent="0.3">
      <c r="A10" t="s">
        <v>368</v>
      </c>
      <c r="B10" s="1">
        <v>46096</v>
      </c>
      <c r="C10" t="s">
        <v>369</v>
      </c>
      <c r="D10" t="s">
        <v>370</v>
      </c>
      <c r="E10" t="s">
        <v>371</v>
      </c>
      <c r="F10">
        <v>25</v>
      </c>
      <c r="G10">
        <v>889.24</v>
      </c>
      <c r="H10">
        <v>22231</v>
      </c>
      <c r="I10" t="s">
        <v>1238</v>
      </c>
    </row>
    <row r="11" spans="1:9" x14ac:dyDescent="0.3">
      <c r="A11" t="s">
        <v>372</v>
      </c>
      <c r="B11" s="1">
        <v>46179</v>
      </c>
      <c r="C11" t="s">
        <v>360</v>
      </c>
      <c r="D11" t="s">
        <v>361</v>
      </c>
      <c r="E11" t="s">
        <v>362</v>
      </c>
      <c r="F11">
        <v>30</v>
      </c>
      <c r="G11">
        <v>632.67999999999995</v>
      </c>
      <c r="H11">
        <v>18980.400000000001</v>
      </c>
      <c r="I11" t="s">
        <v>1238</v>
      </c>
    </row>
    <row r="12" spans="1:9" x14ac:dyDescent="0.3">
      <c r="A12" t="s">
        <v>373</v>
      </c>
      <c r="B12" s="1">
        <v>46114</v>
      </c>
      <c r="C12" t="s">
        <v>374</v>
      </c>
      <c r="D12" t="s">
        <v>375</v>
      </c>
      <c r="E12" t="s">
        <v>376</v>
      </c>
      <c r="F12">
        <v>7</v>
      </c>
      <c r="G12">
        <v>443.67</v>
      </c>
      <c r="H12">
        <v>3105.69</v>
      </c>
      <c r="I12" t="s">
        <v>358</v>
      </c>
    </row>
    <row r="13" spans="1:9" x14ac:dyDescent="0.3">
      <c r="A13" t="s">
        <v>377</v>
      </c>
      <c r="B13" s="1">
        <v>46133</v>
      </c>
      <c r="C13" t="s">
        <v>374</v>
      </c>
      <c r="D13" t="s">
        <v>375</v>
      </c>
      <c r="E13" t="s">
        <v>376</v>
      </c>
      <c r="F13">
        <v>7</v>
      </c>
      <c r="G13">
        <v>435.53</v>
      </c>
      <c r="H13">
        <v>3048.71</v>
      </c>
      <c r="I13" t="s">
        <v>358</v>
      </c>
    </row>
    <row r="14" spans="1:9" x14ac:dyDescent="0.3">
      <c r="A14" t="s">
        <v>378</v>
      </c>
      <c r="B14" s="1">
        <v>46030</v>
      </c>
      <c r="C14" t="s">
        <v>366</v>
      </c>
      <c r="D14" t="s">
        <v>367</v>
      </c>
      <c r="E14" t="s">
        <v>352</v>
      </c>
      <c r="F14">
        <v>23</v>
      </c>
      <c r="G14">
        <v>952.07</v>
      </c>
      <c r="H14">
        <v>21897.61</v>
      </c>
      <c r="I14" t="s">
        <v>353</v>
      </c>
    </row>
    <row r="15" spans="1:9" x14ac:dyDescent="0.3">
      <c r="A15" t="s">
        <v>379</v>
      </c>
      <c r="B15" s="1">
        <v>46107</v>
      </c>
      <c r="C15" t="s">
        <v>355</v>
      </c>
      <c r="D15" t="s">
        <v>356</v>
      </c>
      <c r="E15" t="s">
        <v>343</v>
      </c>
      <c r="F15">
        <v>19</v>
      </c>
      <c r="G15">
        <v>295.72000000000003</v>
      </c>
      <c r="H15">
        <v>5618.68</v>
      </c>
      <c r="I15" t="s">
        <v>1238</v>
      </c>
    </row>
    <row r="16" spans="1:9" x14ac:dyDescent="0.3">
      <c r="A16" t="s">
        <v>380</v>
      </c>
      <c r="B16" s="1">
        <v>46099</v>
      </c>
      <c r="C16" t="s">
        <v>366</v>
      </c>
      <c r="D16" t="s">
        <v>367</v>
      </c>
      <c r="E16" t="s">
        <v>352</v>
      </c>
      <c r="F16">
        <v>12</v>
      </c>
      <c r="G16">
        <v>915.03</v>
      </c>
      <c r="H16">
        <v>10980.36</v>
      </c>
      <c r="I16" t="s">
        <v>1238</v>
      </c>
    </row>
    <row r="17" spans="1:9" x14ac:dyDescent="0.3">
      <c r="A17" t="s">
        <v>381</v>
      </c>
      <c r="B17" s="1">
        <v>46093</v>
      </c>
      <c r="C17" t="s">
        <v>382</v>
      </c>
      <c r="D17" t="s">
        <v>383</v>
      </c>
      <c r="E17" t="s">
        <v>384</v>
      </c>
      <c r="F17">
        <v>18</v>
      </c>
      <c r="G17">
        <v>762.68</v>
      </c>
      <c r="H17">
        <v>13728.24</v>
      </c>
      <c r="I17" t="s">
        <v>353</v>
      </c>
    </row>
    <row r="18" spans="1:9" x14ac:dyDescent="0.3">
      <c r="A18" t="s">
        <v>385</v>
      </c>
      <c r="B18" s="1">
        <v>46251</v>
      </c>
      <c r="C18" t="s">
        <v>382</v>
      </c>
      <c r="D18" t="s">
        <v>383</v>
      </c>
      <c r="E18" t="s">
        <v>384</v>
      </c>
      <c r="F18">
        <v>26</v>
      </c>
      <c r="G18">
        <v>722.97</v>
      </c>
      <c r="H18">
        <v>18797.22</v>
      </c>
      <c r="I18" t="s">
        <v>363</v>
      </c>
    </row>
    <row r="19" spans="1:9" x14ac:dyDescent="0.3">
      <c r="A19" t="s">
        <v>386</v>
      </c>
      <c r="B19" s="1">
        <v>46132</v>
      </c>
      <c r="C19" t="s">
        <v>387</v>
      </c>
      <c r="D19" t="s">
        <v>388</v>
      </c>
      <c r="E19" t="s">
        <v>347</v>
      </c>
      <c r="F19">
        <v>14</v>
      </c>
      <c r="G19">
        <v>542.35</v>
      </c>
      <c r="H19">
        <v>7592.9000000000015</v>
      </c>
      <c r="I19" t="s">
        <v>348</v>
      </c>
    </row>
    <row r="20" spans="1:9" x14ac:dyDescent="0.3">
      <c r="A20" t="s">
        <v>389</v>
      </c>
      <c r="B20" s="1">
        <v>46231</v>
      </c>
      <c r="C20" t="s">
        <v>382</v>
      </c>
      <c r="D20" t="s">
        <v>383</v>
      </c>
      <c r="E20" t="s">
        <v>384</v>
      </c>
      <c r="F20">
        <v>22</v>
      </c>
      <c r="G20">
        <v>687.72</v>
      </c>
      <c r="H20">
        <v>15129.84</v>
      </c>
      <c r="I20" t="s">
        <v>363</v>
      </c>
    </row>
    <row r="21" spans="1:9" x14ac:dyDescent="0.3">
      <c r="A21" t="s">
        <v>390</v>
      </c>
      <c r="B21" s="1">
        <v>46191</v>
      </c>
      <c r="C21" t="s">
        <v>369</v>
      </c>
      <c r="D21" t="s">
        <v>370</v>
      </c>
      <c r="E21" t="s">
        <v>371</v>
      </c>
      <c r="F21">
        <v>18</v>
      </c>
      <c r="G21">
        <v>888.67</v>
      </c>
      <c r="H21">
        <v>15996.06</v>
      </c>
      <c r="I21" t="s">
        <v>363</v>
      </c>
    </row>
    <row r="22" spans="1:9" x14ac:dyDescent="0.3">
      <c r="A22" t="s">
        <v>391</v>
      </c>
      <c r="B22" s="1">
        <v>46261</v>
      </c>
      <c r="C22" t="s">
        <v>382</v>
      </c>
      <c r="D22" t="s">
        <v>383</v>
      </c>
      <c r="E22" t="s">
        <v>384</v>
      </c>
      <c r="F22">
        <v>27</v>
      </c>
      <c r="G22">
        <v>765.5</v>
      </c>
      <c r="H22">
        <v>20668.5</v>
      </c>
      <c r="I22" t="s">
        <v>358</v>
      </c>
    </row>
    <row r="23" spans="1:9" x14ac:dyDescent="0.3">
      <c r="A23" t="s">
        <v>392</v>
      </c>
      <c r="B23" s="1">
        <v>46163</v>
      </c>
      <c r="C23" t="s">
        <v>393</v>
      </c>
      <c r="D23" t="s">
        <v>394</v>
      </c>
      <c r="E23" t="s">
        <v>371</v>
      </c>
      <c r="F23">
        <v>29</v>
      </c>
      <c r="G23">
        <v>656.97</v>
      </c>
      <c r="H23">
        <v>19052.13</v>
      </c>
      <c r="I23" t="s">
        <v>1238</v>
      </c>
    </row>
    <row r="24" spans="1:9" x14ac:dyDescent="0.3">
      <c r="A24" t="s">
        <v>395</v>
      </c>
      <c r="B24" s="1">
        <v>46085</v>
      </c>
      <c r="C24" t="s">
        <v>396</v>
      </c>
      <c r="D24" t="s">
        <v>397</v>
      </c>
      <c r="E24" t="s">
        <v>376</v>
      </c>
      <c r="F24">
        <v>22</v>
      </c>
      <c r="G24">
        <v>352.59</v>
      </c>
      <c r="H24">
        <v>7756.98</v>
      </c>
      <c r="I24" t="s">
        <v>348</v>
      </c>
    </row>
    <row r="25" spans="1:9" x14ac:dyDescent="0.3">
      <c r="A25" t="s">
        <v>398</v>
      </c>
      <c r="B25" s="1">
        <v>46182</v>
      </c>
      <c r="C25" t="s">
        <v>350</v>
      </c>
      <c r="D25" t="s">
        <v>351</v>
      </c>
      <c r="E25" t="s">
        <v>352</v>
      </c>
      <c r="F25">
        <v>23</v>
      </c>
      <c r="G25">
        <v>520.04999999999995</v>
      </c>
      <c r="H25">
        <v>11961.15</v>
      </c>
      <c r="I25" t="s">
        <v>348</v>
      </c>
    </row>
    <row r="26" spans="1:9" x14ac:dyDescent="0.3">
      <c r="A26" t="s">
        <v>399</v>
      </c>
      <c r="B26" s="1">
        <v>46090</v>
      </c>
      <c r="C26" t="s">
        <v>400</v>
      </c>
      <c r="D26" t="s">
        <v>401</v>
      </c>
      <c r="E26" t="s">
        <v>384</v>
      </c>
      <c r="F26">
        <v>24</v>
      </c>
      <c r="G26">
        <v>567.35</v>
      </c>
      <c r="H26">
        <v>13616.4</v>
      </c>
      <c r="I26" t="s">
        <v>348</v>
      </c>
    </row>
    <row r="27" spans="1:9" x14ac:dyDescent="0.3">
      <c r="A27" t="s">
        <v>402</v>
      </c>
      <c r="B27" s="1">
        <v>46158</v>
      </c>
      <c r="C27" t="s">
        <v>345</v>
      </c>
      <c r="D27" t="s">
        <v>346</v>
      </c>
      <c r="E27" t="s">
        <v>347</v>
      </c>
      <c r="F27">
        <v>20</v>
      </c>
      <c r="G27">
        <v>428.19</v>
      </c>
      <c r="H27">
        <v>8563.7999999999993</v>
      </c>
      <c r="I27" t="s">
        <v>358</v>
      </c>
    </row>
    <row r="28" spans="1:9" x14ac:dyDescent="0.3">
      <c r="A28" t="s">
        <v>403</v>
      </c>
      <c r="B28" s="1">
        <v>46140</v>
      </c>
      <c r="C28" t="s">
        <v>366</v>
      </c>
      <c r="D28" t="s">
        <v>367</v>
      </c>
      <c r="E28" t="s">
        <v>352</v>
      </c>
      <c r="F28">
        <v>9</v>
      </c>
      <c r="G28">
        <v>858</v>
      </c>
      <c r="H28">
        <v>7722</v>
      </c>
      <c r="I28" t="s">
        <v>353</v>
      </c>
    </row>
    <row r="29" spans="1:9" x14ac:dyDescent="0.3">
      <c r="A29" t="s">
        <v>404</v>
      </c>
      <c r="B29" s="1">
        <v>46067</v>
      </c>
      <c r="C29" t="s">
        <v>374</v>
      </c>
      <c r="D29" t="s">
        <v>375</v>
      </c>
      <c r="E29" t="s">
        <v>376</v>
      </c>
      <c r="F29">
        <v>22</v>
      </c>
      <c r="G29">
        <v>473.8</v>
      </c>
      <c r="H29">
        <v>10423.6</v>
      </c>
      <c r="I29" t="s">
        <v>353</v>
      </c>
    </row>
    <row r="30" spans="1:9" x14ac:dyDescent="0.3">
      <c r="A30" t="s">
        <v>405</v>
      </c>
      <c r="B30" s="1">
        <v>46136</v>
      </c>
      <c r="C30" t="s">
        <v>374</v>
      </c>
      <c r="D30" t="s">
        <v>375</v>
      </c>
      <c r="E30" t="s">
        <v>376</v>
      </c>
      <c r="F30">
        <v>16</v>
      </c>
      <c r="G30">
        <v>436.84</v>
      </c>
      <c r="H30">
        <v>6989.44</v>
      </c>
      <c r="I30" t="s">
        <v>348</v>
      </c>
    </row>
    <row r="31" spans="1:9" x14ac:dyDescent="0.3">
      <c r="A31" t="s">
        <v>406</v>
      </c>
      <c r="B31" s="1">
        <v>46253</v>
      </c>
      <c r="C31" t="s">
        <v>360</v>
      </c>
      <c r="D31" t="s">
        <v>361</v>
      </c>
      <c r="E31" t="s">
        <v>362</v>
      </c>
      <c r="F31">
        <v>15</v>
      </c>
      <c r="G31">
        <v>700.19</v>
      </c>
      <c r="H31">
        <v>10502.85</v>
      </c>
      <c r="I31" t="s">
        <v>358</v>
      </c>
    </row>
    <row r="32" spans="1:9" x14ac:dyDescent="0.3">
      <c r="A32" t="s">
        <v>407</v>
      </c>
      <c r="B32" s="1">
        <v>46067</v>
      </c>
      <c r="C32" t="s">
        <v>369</v>
      </c>
      <c r="D32" t="s">
        <v>370</v>
      </c>
      <c r="E32" t="s">
        <v>371</v>
      </c>
      <c r="F32">
        <v>18</v>
      </c>
      <c r="G32">
        <v>940.51</v>
      </c>
      <c r="H32">
        <v>16929.18</v>
      </c>
      <c r="I32" t="s">
        <v>363</v>
      </c>
    </row>
    <row r="33" spans="1:9" x14ac:dyDescent="0.3">
      <c r="A33" t="s">
        <v>408</v>
      </c>
      <c r="B33" s="1">
        <v>46193</v>
      </c>
      <c r="C33" t="s">
        <v>400</v>
      </c>
      <c r="D33" t="s">
        <v>401</v>
      </c>
      <c r="E33" t="s">
        <v>384</v>
      </c>
      <c r="F33">
        <v>13</v>
      </c>
      <c r="G33">
        <v>571.14</v>
      </c>
      <c r="H33">
        <v>7424.82</v>
      </c>
      <c r="I33" t="s">
        <v>1238</v>
      </c>
    </row>
    <row r="34" spans="1:9" x14ac:dyDescent="0.3">
      <c r="A34" t="s">
        <v>409</v>
      </c>
      <c r="B34" s="1">
        <v>46114</v>
      </c>
      <c r="C34" t="s">
        <v>345</v>
      </c>
      <c r="D34" t="s">
        <v>346</v>
      </c>
      <c r="E34" t="s">
        <v>347</v>
      </c>
      <c r="F34">
        <v>16</v>
      </c>
      <c r="G34">
        <v>416.16</v>
      </c>
      <c r="H34">
        <v>6658.56</v>
      </c>
      <c r="I34" t="s">
        <v>363</v>
      </c>
    </row>
    <row r="35" spans="1:9" x14ac:dyDescent="0.3">
      <c r="A35" t="s">
        <v>410</v>
      </c>
      <c r="B35" s="1">
        <v>46145</v>
      </c>
      <c r="C35" t="s">
        <v>393</v>
      </c>
      <c r="D35" t="s">
        <v>394</v>
      </c>
      <c r="E35" t="s">
        <v>371</v>
      </c>
      <c r="F35">
        <v>5</v>
      </c>
      <c r="G35">
        <v>719.77</v>
      </c>
      <c r="H35">
        <v>3598.85</v>
      </c>
      <c r="I35" t="s">
        <v>363</v>
      </c>
    </row>
    <row r="36" spans="1:9" x14ac:dyDescent="0.3">
      <c r="A36" t="s">
        <v>411</v>
      </c>
      <c r="B36" s="1">
        <v>46121</v>
      </c>
      <c r="C36" t="s">
        <v>366</v>
      </c>
      <c r="D36" t="s">
        <v>367</v>
      </c>
      <c r="E36" t="s">
        <v>352</v>
      </c>
      <c r="F36">
        <v>21</v>
      </c>
      <c r="G36">
        <v>960.88</v>
      </c>
      <c r="H36">
        <v>20178.48</v>
      </c>
      <c r="I36" t="s">
        <v>353</v>
      </c>
    </row>
    <row r="37" spans="1:9" x14ac:dyDescent="0.3">
      <c r="A37" t="s">
        <v>412</v>
      </c>
      <c r="B37" s="1">
        <v>46060</v>
      </c>
      <c r="C37" t="s">
        <v>374</v>
      </c>
      <c r="D37" t="s">
        <v>375</v>
      </c>
      <c r="E37" t="s">
        <v>376</v>
      </c>
      <c r="F37">
        <v>7</v>
      </c>
      <c r="G37">
        <v>460.48</v>
      </c>
      <c r="H37">
        <v>3223.36</v>
      </c>
      <c r="I37" t="s">
        <v>358</v>
      </c>
    </row>
    <row r="38" spans="1:9" x14ac:dyDescent="0.3">
      <c r="A38" t="s">
        <v>413</v>
      </c>
      <c r="B38" s="1">
        <v>46172</v>
      </c>
      <c r="C38" t="s">
        <v>396</v>
      </c>
      <c r="D38" t="s">
        <v>397</v>
      </c>
      <c r="E38" t="s">
        <v>376</v>
      </c>
      <c r="F38">
        <v>27</v>
      </c>
      <c r="G38">
        <v>347.87</v>
      </c>
      <c r="H38">
        <v>9392.49</v>
      </c>
      <c r="I38" t="s">
        <v>363</v>
      </c>
    </row>
    <row r="39" spans="1:9" x14ac:dyDescent="0.3">
      <c r="A39" t="s">
        <v>414</v>
      </c>
      <c r="B39" s="1">
        <v>46258</v>
      </c>
      <c r="C39" t="s">
        <v>415</v>
      </c>
      <c r="D39" t="s">
        <v>416</v>
      </c>
      <c r="E39" t="s">
        <v>347</v>
      </c>
      <c r="F39">
        <v>17</v>
      </c>
      <c r="G39">
        <v>712.34</v>
      </c>
      <c r="H39">
        <v>12109.78</v>
      </c>
      <c r="I39" t="s">
        <v>358</v>
      </c>
    </row>
    <row r="40" spans="1:9" x14ac:dyDescent="0.3">
      <c r="A40" t="s">
        <v>417</v>
      </c>
      <c r="B40" s="1">
        <v>46255</v>
      </c>
      <c r="C40" t="s">
        <v>369</v>
      </c>
      <c r="D40" t="s">
        <v>370</v>
      </c>
      <c r="E40" t="s">
        <v>371</v>
      </c>
      <c r="F40">
        <v>12</v>
      </c>
      <c r="G40">
        <v>842.93</v>
      </c>
      <c r="H40">
        <v>10115.16</v>
      </c>
      <c r="I40" t="s">
        <v>348</v>
      </c>
    </row>
    <row r="41" spans="1:9" x14ac:dyDescent="0.3">
      <c r="A41" t="s">
        <v>418</v>
      </c>
      <c r="B41" s="1">
        <v>46109</v>
      </c>
      <c r="C41" t="s">
        <v>419</v>
      </c>
      <c r="D41" t="s">
        <v>420</v>
      </c>
      <c r="E41" t="s">
        <v>362</v>
      </c>
      <c r="F41">
        <v>27</v>
      </c>
      <c r="G41">
        <v>815.46</v>
      </c>
      <c r="H41">
        <v>22017.42</v>
      </c>
      <c r="I41" t="s">
        <v>1238</v>
      </c>
    </row>
    <row r="42" spans="1:9" x14ac:dyDescent="0.3">
      <c r="A42" t="s">
        <v>421</v>
      </c>
      <c r="B42" s="1">
        <v>46099</v>
      </c>
      <c r="C42" t="s">
        <v>393</v>
      </c>
      <c r="D42" t="s">
        <v>394</v>
      </c>
      <c r="E42" t="s">
        <v>371</v>
      </c>
      <c r="F42">
        <v>27</v>
      </c>
      <c r="G42">
        <v>697.6</v>
      </c>
      <c r="H42">
        <v>18835.2</v>
      </c>
      <c r="I42" t="s">
        <v>1238</v>
      </c>
    </row>
    <row r="43" spans="1:9" x14ac:dyDescent="0.3">
      <c r="A43" t="s">
        <v>422</v>
      </c>
      <c r="B43" s="1">
        <v>46171</v>
      </c>
      <c r="C43" t="s">
        <v>345</v>
      </c>
      <c r="D43" t="s">
        <v>346</v>
      </c>
      <c r="E43" t="s">
        <v>347</v>
      </c>
      <c r="F43">
        <v>27</v>
      </c>
      <c r="G43">
        <v>390.19</v>
      </c>
      <c r="H43">
        <v>10535.13</v>
      </c>
      <c r="I43" t="s">
        <v>348</v>
      </c>
    </row>
    <row r="44" spans="1:9" x14ac:dyDescent="0.3">
      <c r="A44" t="s">
        <v>423</v>
      </c>
      <c r="B44" s="1">
        <v>46194</v>
      </c>
      <c r="C44" t="s">
        <v>360</v>
      </c>
      <c r="D44" t="s">
        <v>361</v>
      </c>
      <c r="E44" t="s">
        <v>362</v>
      </c>
      <c r="F44">
        <v>27</v>
      </c>
      <c r="G44">
        <v>653.45000000000005</v>
      </c>
      <c r="H44">
        <v>17643.150000000001</v>
      </c>
      <c r="I44" t="s">
        <v>353</v>
      </c>
    </row>
    <row r="45" spans="1:9" x14ac:dyDescent="0.3">
      <c r="A45" t="s">
        <v>424</v>
      </c>
      <c r="B45" s="1">
        <v>46201</v>
      </c>
      <c r="C45" t="s">
        <v>400</v>
      </c>
      <c r="D45" t="s">
        <v>401</v>
      </c>
      <c r="E45" t="s">
        <v>384</v>
      </c>
      <c r="F45">
        <v>23</v>
      </c>
      <c r="G45">
        <v>585.72</v>
      </c>
      <c r="H45">
        <v>13471.56</v>
      </c>
      <c r="I45" t="s">
        <v>353</v>
      </c>
    </row>
    <row r="46" spans="1:9" x14ac:dyDescent="0.3">
      <c r="A46" t="s">
        <v>425</v>
      </c>
      <c r="B46" s="1">
        <v>46113</v>
      </c>
      <c r="C46" t="s">
        <v>360</v>
      </c>
      <c r="D46" t="s">
        <v>361</v>
      </c>
      <c r="E46" t="s">
        <v>362</v>
      </c>
      <c r="F46">
        <v>22</v>
      </c>
      <c r="G46">
        <v>629.42999999999995</v>
      </c>
      <c r="H46">
        <v>13847.46</v>
      </c>
      <c r="I46" t="s">
        <v>1238</v>
      </c>
    </row>
    <row r="47" spans="1:9" x14ac:dyDescent="0.3">
      <c r="A47" t="s">
        <v>426</v>
      </c>
      <c r="B47" s="1">
        <v>46053</v>
      </c>
      <c r="C47" t="s">
        <v>382</v>
      </c>
      <c r="D47" t="s">
        <v>383</v>
      </c>
      <c r="E47" t="s">
        <v>384</v>
      </c>
      <c r="F47">
        <v>25</v>
      </c>
      <c r="G47">
        <v>725.45</v>
      </c>
      <c r="H47">
        <v>18136.25</v>
      </c>
      <c r="I47" t="s">
        <v>358</v>
      </c>
    </row>
    <row r="48" spans="1:9" x14ac:dyDescent="0.3">
      <c r="A48" t="s">
        <v>427</v>
      </c>
      <c r="B48" s="1">
        <v>46099</v>
      </c>
      <c r="C48" t="s">
        <v>369</v>
      </c>
      <c r="D48" t="s">
        <v>370</v>
      </c>
      <c r="E48" t="s">
        <v>371</v>
      </c>
      <c r="F48">
        <v>12</v>
      </c>
      <c r="G48">
        <v>899.38</v>
      </c>
      <c r="H48">
        <v>10792.56</v>
      </c>
      <c r="I48" t="s">
        <v>348</v>
      </c>
    </row>
    <row r="49" spans="1:9" x14ac:dyDescent="0.3">
      <c r="A49" t="s">
        <v>428</v>
      </c>
      <c r="B49" s="1">
        <v>46139</v>
      </c>
      <c r="C49" t="s">
        <v>360</v>
      </c>
      <c r="D49" t="s">
        <v>361</v>
      </c>
      <c r="E49" t="s">
        <v>362</v>
      </c>
      <c r="F49">
        <v>24</v>
      </c>
      <c r="G49">
        <v>648.70000000000005</v>
      </c>
      <c r="H49">
        <v>15568.8</v>
      </c>
      <c r="I49" t="s">
        <v>363</v>
      </c>
    </row>
    <row r="50" spans="1:9" x14ac:dyDescent="0.3">
      <c r="A50" t="s">
        <v>429</v>
      </c>
      <c r="B50" s="1">
        <v>46080</v>
      </c>
      <c r="C50" t="s">
        <v>387</v>
      </c>
      <c r="D50" t="s">
        <v>388</v>
      </c>
      <c r="E50" t="s">
        <v>347</v>
      </c>
      <c r="F50">
        <v>13</v>
      </c>
      <c r="G50">
        <v>490.75</v>
      </c>
      <c r="H50">
        <v>6379.75</v>
      </c>
      <c r="I50" t="s">
        <v>353</v>
      </c>
    </row>
    <row r="51" spans="1:9" x14ac:dyDescent="0.3">
      <c r="A51" t="s">
        <v>430</v>
      </c>
      <c r="B51" s="1">
        <v>46060</v>
      </c>
      <c r="C51" t="s">
        <v>382</v>
      </c>
      <c r="D51" t="s">
        <v>383</v>
      </c>
      <c r="E51" t="s">
        <v>384</v>
      </c>
      <c r="F51">
        <v>10</v>
      </c>
      <c r="G51">
        <v>757.77</v>
      </c>
      <c r="H51">
        <v>7577.7</v>
      </c>
      <c r="I51" t="s">
        <v>358</v>
      </c>
    </row>
    <row r="52" spans="1:9" x14ac:dyDescent="0.3">
      <c r="A52" t="s">
        <v>431</v>
      </c>
      <c r="B52" s="1">
        <v>46025</v>
      </c>
      <c r="C52" t="s">
        <v>393</v>
      </c>
      <c r="D52" t="s">
        <v>394</v>
      </c>
      <c r="E52" t="s">
        <v>371</v>
      </c>
      <c r="F52">
        <v>18</v>
      </c>
      <c r="G52">
        <v>653.53</v>
      </c>
      <c r="H52">
        <v>11763.54</v>
      </c>
      <c r="I52" t="s">
        <v>358</v>
      </c>
    </row>
    <row r="53" spans="1:9" x14ac:dyDescent="0.3">
      <c r="A53" t="s">
        <v>432</v>
      </c>
      <c r="B53" s="1">
        <v>46168</v>
      </c>
      <c r="C53" t="s">
        <v>415</v>
      </c>
      <c r="D53" t="s">
        <v>416</v>
      </c>
      <c r="E53" t="s">
        <v>347</v>
      </c>
      <c r="F53">
        <v>5</v>
      </c>
      <c r="G53">
        <v>708.23</v>
      </c>
      <c r="H53">
        <v>3541.15</v>
      </c>
      <c r="I53" t="s">
        <v>348</v>
      </c>
    </row>
    <row r="54" spans="1:9" x14ac:dyDescent="0.3">
      <c r="A54" t="s">
        <v>433</v>
      </c>
      <c r="B54" s="1">
        <v>46212</v>
      </c>
      <c r="C54" t="s">
        <v>355</v>
      </c>
      <c r="D54" t="s">
        <v>356</v>
      </c>
      <c r="E54" t="s">
        <v>343</v>
      </c>
      <c r="F54">
        <v>28</v>
      </c>
      <c r="G54">
        <v>296.33</v>
      </c>
      <c r="H54">
        <v>8297.24</v>
      </c>
      <c r="I54" t="s">
        <v>348</v>
      </c>
    </row>
    <row r="55" spans="1:9" x14ac:dyDescent="0.3">
      <c r="A55" t="s">
        <v>434</v>
      </c>
      <c r="B55" s="1">
        <v>46148</v>
      </c>
      <c r="C55" t="s">
        <v>355</v>
      </c>
      <c r="D55" t="s">
        <v>356</v>
      </c>
      <c r="E55" t="s">
        <v>343</v>
      </c>
      <c r="F55">
        <v>29</v>
      </c>
      <c r="G55">
        <v>276.88</v>
      </c>
      <c r="H55">
        <v>8029.52</v>
      </c>
      <c r="I55" t="s">
        <v>1238</v>
      </c>
    </row>
    <row r="56" spans="1:9" x14ac:dyDescent="0.3">
      <c r="A56" t="s">
        <v>435</v>
      </c>
      <c r="B56" s="1">
        <v>46243</v>
      </c>
      <c r="C56" t="s">
        <v>345</v>
      </c>
      <c r="D56" t="s">
        <v>346</v>
      </c>
      <c r="E56" t="s">
        <v>347</v>
      </c>
      <c r="F56">
        <v>29</v>
      </c>
      <c r="G56">
        <v>394.05</v>
      </c>
      <c r="H56">
        <v>11427.45</v>
      </c>
      <c r="I56" t="s">
        <v>1238</v>
      </c>
    </row>
    <row r="57" spans="1:9" x14ac:dyDescent="0.3">
      <c r="A57" t="s">
        <v>436</v>
      </c>
      <c r="B57" s="1">
        <v>46204</v>
      </c>
      <c r="C57" t="s">
        <v>360</v>
      </c>
      <c r="D57" t="s">
        <v>361</v>
      </c>
      <c r="E57" t="s">
        <v>362</v>
      </c>
      <c r="F57">
        <v>23</v>
      </c>
      <c r="G57">
        <v>679.67</v>
      </c>
      <c r="H57">
        <v>15632.41</v>
      </c>
      <c r="I57" t="s">
        <v>1238</v>
      </c>
    </row>
    <row r="58" spans="1:9" x14ac:dyDescent="0.3">
      <c r="A58" t="s">
        <v>437</v>
      </c>
      <c r="B58" s="1">
        <v>46247</v>
      </c>
      <c r="C58" t="s">
        <v>382</v>
      </c>
      <c r="D58" t="s">
        <v>383</v>
      </c>
      <c r="E58" t="s">
        <v>384</v>
      </c>
      <c r="F58">
        <v>5</v>
      </c>
      <c r="G58">
        <v>702.67</v>
      </c>
      <c r="H58">
        <v>3513.35</v>
      </c>
      <c r="I58" t="s">
        <v>353</v>
      </c>
    </row>
    <row r="59" spans="1:9" x14ac:dyDescent="0.3">
      <c r="A59" t="s">
        <v>438</v>
      </c>
      <c r="B59" s="1">
        <v>46056</v>
      </c>
      <c r="C59" t="s">
        <v>350</v>
      </c>
      <c r="D59" t="s">
        <v>351</v>
      </c>
      <c r="E59" t="s">
        <v>352</v>
      </c>
      <c r="F59">
        <v>12</v>
      </c>
      <c r="G59">
        <v>514.13</v>
      </c>
      <c r="H59">
        <v>6169.5599999999986</v>
      </c>
      <c r="I59" t="s">
        <v>348</v>
      </c>
    </row>
    <row r="60" spans="1:9" x14ac:dyDescent="0.3">
      <c r="A60" t="s">
        <v>439</v>
      </c>
      <c r="B60" s="1">
        <v>46144</v>
      </c>
      <c r="C60" t="s">
        <v>366</v>
      </c>
      <c r="D60" t="s">
        <v>367</v>
      </c>
      <c r="E60" t="s">
        <v>352</v>
      </c>
      <c r="F60">
        <v>17</v>
      </c>
      <c r="G60">
        <v>916.72</v>
      </c>
      <c r="H60">
        <v>15584.24</v>
      </c>
      <c r="I60" t="s">
        <v>348</v>
      </c>
    </row>
    <row r="61" spans="1:9" x14ac:dyDescent="0.3">
      <c r="A61" t="s">
        <v>440</v>
      </c>
      <c r="B61" s="1">
        <v>46032</v>
      </c>
      <c r="C61" t="s">
        <v>393</v>
      </c>
      <c r="D61" t="s">
        <v>394</v>
      </c>
      <c r="E61" t="s">
        <v>371</v>
      </c>
      <c r="F61">
        <v>11</v>
      </c>
      <c r="G61">
        <v>709.8</v>
      </c>
      <c r="H61">
        <v>7807.7999999999993</v>
      </c>
      <c r="I61" t="s">
        <v>348</v>
      </c>
    </row>
    <row r="62" spans="1:9" x14ac:dyDescent="0.3">
      <c r="A62" t="s">
        <v>441</v>
      </c>
      <c r="B62" s="1">
        <v>46147</v>
      </c>
      <c r="C62" t="s">
        <v>355</v>
      </c>
      <c r="D62" t="s">
        <v>356</v>
      </c>
      <c r="E62" t="s">
        <v>343</v>
      </c>
      <c r="F62">
        <v>22</v>
      </c>
      <c r="G62">
        <v>287.05</v>
      </c>
      <c r="H62">
        <v>6315.1</v>
      </c>
      <c r="I62" t="s">
        <v>348</v>
      </c>
    </row>
    <row r="63" spans="1:9" x14ac:dyDescent="0.3">
      <c r="A63" t="s">
        <v>442</v>
      </c>
      <c r="B63" s="1">
        <v>46190</v>
      </c>
      <c r="C63" t="s">
        <v>374</v>
      </c>
      <c r="D63" t="s">
        <v>375</v>
      </c>
      <c r="E63" t="s">
        <v>376</v>
      </c>
      <c r="F63">
        <v>19</v>
      </c>
      <c r="G63">
        <v>456.07</v>
      </c>
      <c r="H63">
        <v>8665.33</v>
      </c>
      <c r="I63" t="s">
        <v>348</v>
      </c>
    </row>
    <row r="64" spans="1:9" x14ac:dyDescent="0.3">
      <c r="A64" t="s">
        <v>443</v>
      </c>
      <c r="B64" s="1">
        <v>46231</v>
      </c>
      <c r="C64" t="s">
        <v>366</v>
      </c>
      <c r="D64" t="s">
        <v>367</v>
      </c>
      <c r="E64" t="s">
        <v>352</v>
      </c>
      <c r="F64">
        <v>13</v>
      </c>
      <c r="G64">
        <v>881.51</v>
      </c>
      <c r="H64">
        <v>11459.63</v>
      </c>
      <c r="I64" t="s">
        <v>1238</v>
      </c>
    </row>
    <row r="65" spans="1:9" x14ac:dyDescent="0.3">
      <c r="A65" t="s">
        <v>444</v>
      </c>
      <c r="B65" s="1">
        <v>46027</v>
      </c>
      <c r="C65" t="s">
        <v>382</v>
      </c>
      <c r="D65" t="s">
        <v>383</v>
      </c>
      <c r="E65" t="s">
        <v>384</v>
      </c>
      <c r="F65">
        <v>24</v>
      </c>
      <c r="G65">
        <v>738.7</v>
      </c>
      <c r="H65">
        <v>17728.8</v>
      </c>
      <c r="I65" t="s">
        <v>363</v>
      </c>
    </row>
    <row r="66" spans="1:9" x14ac:dyDescent="0.3">
      <c r="A66" t="s">
        <v>445</v>
      </c>
      <c r="B66" s="1">
        <v>46115</v>
      </c>
      <c r="C66" t="s">
        <v>374</v>
      </c>
      <c r="D66" t="s">
        <v>375</v>
      </c>
      <c r="E66" t="s">
        <v>376</v>
      </c>
      <c r="F66">
        <v>22</v>
      </c>
      <c r="G66">
        <v>486.53</v>
      </c>
      <c r="H66">
        <v>10703.66</v>
      </c>
      <c r="I66" t="s">
        <v>358</v>
      </c>
    </row>
    <row r="67" spans="1:9" x14ac:dyDescent="0.3">
      <c r="A67" t="s">
        <v>446</v>
      </c>
      <c r="B67" s="1">
        <v>46211</v>
      </c>
      <c r="C67" t="s">
        <v>355</v>
      </c>
      <c r="D67" t="s">
        <v>356</v>
      </c>
      <c r="E67" t="s">
        <v>343</v>
      </c>
      <c r="F67">
        <v>14</v>
      </c>
      <c r="G67">
        <v>304.7</v>
      </c>
      <c r="H67">
        <v>4265.8</v>
      </c>
      <c r="I67" t="s">
        <v>348</v>
      </c>
    </row>
    <row r="68" spans="1:9" x14ac:dyDescent="0.3">
      <c r="A68" t="s">
        <v>447</v>
      </c>
      <c r="B68" s="1">
        <v>46132</v>
      </c>
      <c r="C68" t="s">
        <v>400</v>
      </c>
      <c r="D68" t="s">
        <v>401</v>
      </c>
      <c r="E68" t="s">
        <v>384</v>
      </c>
      <c r="F68">
        <v>7</v>
      </c>
      <c r="G68">
        <v>528.04999999999995</v>
      </c>
      <c r="H68">
        <v>3696.349999999999</v>
      </c>
      <c r="I68" t="s">
        <v>348</v>
      </c>
    </row>
    <row r="69" spans="1:9" x14ac:dyDescent="0.3">
      <c r="A69" t="s">
        <v>448</v>
      </c>
      <c r="B69" s="1">
        <v>46251</v>
      </c>
      <c r="C69" t="s">
        <v>396</v>
      </c>
      <c r="D69" t="s">
        <v>397</v>
      </c>
      <c r="E69" t="s">
        <v>376</v>
      </c>
      <c r="F69">
        <v>25</v>
      </c>
      <c r="G69">
        <v>322.04000000000002</v>
      </c>
      <c r="H69">
        <v>8051.0000000000009</v>
      </c>
      <c r="I69" t="s">
        <v>358</v>
      </c>
    </row>
    <row r="70" spans="1:9" x14ac:dyDescent="0.3">
      <c r="A70" t="s">
        <v>449</v>
      </c>
      <c r="B70" s="1">
        <v>46163</v>
      </c>
      <c r="C70" t="s">
        <v>369</v>
      </c>
      <c r="D70" t="s">
        <v>370</v>
      </c>
      <c r="E70" t="s">
        <v>371</v>
      </c>
      <c r="F70">
        <v>17</v>
      </c>
      <c r="G70">
        <v>852.51</v>
      </c>
      <c r="H70">
        <v>14492.67</v>
      </c>
      <c r="I70" t="s">
        <v>363</v>
      </c>
    </row>
    <row r="71" spans="1:9" x14ac:dyDescent="0.3">
      <c r="A71" t="s">
        <v>450</v>
      </c>
      <c r="B71" s="1">
        <v>46095</v>
      </c>
      <c r="C71" t="s">
        <v>341</v>
      </c>
      <c r="D71" t="s">
        <v>342</v>
      </c>
      <c r="E71" t="s">
        <v>343</v>
      </c>
      <c r="F71">
        <v>14</v>
      </c>
      <c r="G71">
        <v>446.57</v>
      </c>
      <c r="H71">
        <v>6251.98</v>
      </c>
      <c r="I71" t="s">
        <v>363</v>
      </c>
    </row>
    <row r="72" spans="1:9" x14ac:dyDescent="0.3">
      <c r="A72" t="s">
        <v>451</v>
      </c>
      <c r="B72" s="1">
        <v>46082</v>
      </c>
      <c r="C72" t="s">
        <v>360</v>
      </c>
      <c r="D72" t="s">
        <v>361</v>
      </c>
      <c r="E72" t="s">
        <v>362</v>
      </c>
      <c r="F72">
        <v>6</v>
      </c>
      <c r="G72">
        <v>685.75</v>
      </c>
      <c r="H72">
        <v>4114.5</v>
      </c>
      <c r="I72" t="s">
        <v>358</v>
      </c>
    </row>
    <row r="73" spans="1:9" x14ac:dyDescent="0.3">
      <c r="A73" t="s">
        <v>452</v>
      </c>
      <c r="B73" s="1">
        <v>46219</v>
      </c>
      <c r="C73" t="s">
        <v>360</v>
      </c>
      <c r="D73" t="s">
        <v>361</v>
      </c>
      <c r="E73" t="s">
        <v>362</v>
      </c>
      <c r="F73">
        <v>18</v>
      </c>
      <c r="G73">
        <v>658.66</v>
      </c>
      <c r="H73">
        <v>11855.88</v>
      </c>
      <c r="I73" t="s">
        <v>348</v>
      </c>
    </row>
    <row r="74" spans="1:9" x14ac:dyDescent="0.3">
      <c r="A74" t="s">
        <v>453</v>
      </c>
      <c r="B74" s="1">
        <v>46205</v>
      </c>
      <c r="C74" t="s">
        <v>374</v>
      </c>
      <c r="D74" t="s">
        <v>375</v>
      </c>
      <c r="E74" t="s">
        <v>376</v>
      </c>
      <c r="F74">
        <v>22</v>
      </c>
      <c r="G74">
        <v>452.47</v>
      </c>
      <c r="H74">
        <v>9954.34</v>
      </c>
      <c r="I74" t="s">
        <v>348</v>
      </c>
    </row>
    <row r="75" spans="1:9" x14ac:dyDescent="0.3">
      <c r="A75" t="s">
        <v>454</v>
      </c>
      <c r="B75" s="1">
        <v>46144</v>
      </c>
      <c r="C75" t="s">
        <v>366</v>
      </c>
      <c r="D75" t="s">
        <v>367</v>
      </c>
      <c r="E75" t="s">
        <v>352</v>
      </c>
      <c r="F75">
        <v>6</v>
      </c>
      <c r="G75">
        <v>961.84</v>
      </c>
      <c r="H75">
        <v>5771.04</v>
      </c>
      <c r="I75" t="s">
        <v>363</v>
      </c>
    </row>
    <row r="76" spans="1:9" x14ac:dyDescent="0.3">
      <c r="A76" t="s">
        <v>455</v>
      </c>
      <c r="B76" s="1">
        <v>46208</v>
      </c>
      <c r="C76" t="s">
        <v>369</v>
      </c>
      <c r="D76" t="s">
        <v>370</v>
      </c>
      <c r="E76" t="s">
        <v>371</v>
      </c>
      <c r="F76">
        <v>27</v>
      </c>
      <c r="G76">
        <v>887.02</v>
      </c>
      <c r="H76">
        <v>23949.54</v>
      </c>
      <c r="I76" t="s">
        <v>1238</v>
      </c>
    </row>
    <row r="77" spans="1:9" x14ac:dyDescent="0.3">
      <c r="A77" t="s">
        <v>456</v>
      </c>
      <c r="B77" s="1">
        <v>46214</v>
      </c>
      <c r="C77" t="s">
        <v>345</v>
      </c>
      <c r="D77" t="s">
        <v>346</v>
      </c>
      <c r="E77" t="s">
        <v>347</v>
      </c>
      <c r="F77">
        <v>15</v>
      </c>
      <c r="G77">
        <v>411.59</v>
      </c>
      <c r="H77">
        <v>6173.8499999999995</v>
      </c>
      <c r="I77" t="s">
        <v>358</v>
      </c>
    </row>
    <row r="78" spans="1:9" x14ac:dyDescent="0.3">
      <c r="A78" t="s">
        <v>457</v>
      </c>
      <c r="B78" s="1">
        <v>46233</v>
      </c>
      <c r="C78" t="s">
        <v>415</v>
      </c>
      <c r="D78" t="s">
        <v>416</v>
      </c>
      <c r="E78" t="s">
        <v>347</v>
      </c>
      <c r="F78">
        <v>26</v>
      </c>
      <c r="G78">
        <v>739.25</v>
      </c>
      <c r="H78">
        <v>19220.5</v>
      </c>
      <c r="I78" t="s">
        <v>348</v>
      </c>
    </row>
    <row r="79" spans="1:9" x14ac:dyDescent="0.3">
      <c r="A79" t="s">
        <v>458</v>
      </c>
      <c r="B79" s="1">
        <v>46205</v>
      </c>
      <c r="C79" t="s">
        <v>355</v>
      </c>
      <c r="D79" t="s">
        <v>356</v>
      </c>
      <c r="E79" t="s">
        <v>343</v>
      </c>
      <c r="F79">
        <v>19</v>
      </c>
      <c r="G79">
        <v>305.3</v>
      </c>
      <c r="H79">
        <v>5800.7</v>
      </c>
      <c r="I79" t="s">
        <v>1238</v>
      </c>
    </row>
    <row r="80" spans="1:9" x14ac:dyDescent="0.3">
      <c r="A80" t="s">
        <v>459</v>
      </c>
      <c r="B80" s="1">
        <v>46124</v>
      </c>
      <c r="C80" t="s">
        <v>360</v>
      </c>
      <c r="D80" t="s">
        <v>361</v>
      </c>
      <c r="E80" t="s">
        <v>362</v>
      </c>
      <c r="F80">
        <v>18</v>
      </c>
      <c r="G80">
        <v>641.76</v>
      </c>
      <c r="H80">
        <v>11551.68</v>
      </c>
      <c r="I80" t="s">
        <v>363</v>
      </c>
    </row>
    <row r="81" spans="1:9" x14ac:dyDescent="0.3">
      <c r="A81" t="s">
        <v>460</v>
      </c>
      <c r="B81" s="1">
        <v>46166</v>
      </c>
      <c r="C81" t="s">
        <v>360</v>
      </c>
      <c r="D81" t="s">
        <v>361</v>
      </c>
      <c r="E81" t="s">
        <v>362</v>
      </c>
      <c r="F81">
        <v>23</v>
      </c>
      <c r="G81">
        <v>695.26</v>
      </c>
      <c r="H81">
        <v>15990.98</v>
      </c>
      <c r="I81" t="s">
        <v>1238</v>
      </c>
    </row>
    <row r="82" spans="1:9" x14ac:dyDescent="0.3">
      <c r="A82" t="s">
        <v>461</v>
      </c>
      <c r="B82" s="1">
        <v>46105</v>
      </c>
      <c r="C82" t="s">
        <v>400</v>
      </c>
      <c r="D82" t="s">
        <v>401</v>
      </c>
      <c r="E82" t="s">
        <v>384</v>
      </c>
      <c r="F82">
        <v>22</v>
      </c>
      <c r="G82">
        <v>547.89</v>
      </c>
      <c r="H82">
        <v>12053.58</v>
      </c>
      <c r="I82" t="s">
        <v>353</v>
      </c>
    </row>
    <row r="83" spans="1:9" x14ac:dyDescent="0.3">
      <c r="A83" t="s">
        <v>462</v>
      </c>
      <c r="B83" s="1">
        <v>46177</v>
      </c>
      <c r="C83" t="s">
        <v>387</v>
      </c>
      <c r="D83" t="s">
        <v>388</v>
      </c>
      <c r="E83" t="s">
        <v>347</v>
      </c>
      <c r="F83">
        <v>17</v>
      </c>
      <c r="G83">
        <v>536.45000000000005</v>
      </c>
      <c r="H83">
        <v>9119.6500000000015</v>
      </c>
      <c r="I83" t="s">
        <v>353</v>
      </c>
    </row>
    <row r="84" spans="1:9" x14ac:dyDescent="0.3">
      <c r="A84" t="s">
        <v>463</v>
      </c>
      <c r="B84" s="1">
        <v>46174</v>
      </c>
      <c r="C84" t="s">
        <v>345</v>
      </c>
      <c r="D84" t="s">
        <v>346</v>
      </c>
      <c r="E84" t="s">
        <v>347</v>
      </c>
      <c r="F84">
        <v>8</v>
      </c>
      <c r="G84">
        <v>385.02</v>
      </c>
      <c r="H84">
        <v>3080.16</v>
      </c>
      <c r="I84" t="s">
        <v>353</v>
      </c>
    </row>
    <row r="85" spans="1:9" x14ac:dyDescent="0.3">
      <c r="A85" t="s">
        <v>464</v>
      </c>
      <c r="B85" s="1">
        <v>46175</v>
      </c>
      <c r="C85" t="s">
        <v>360</v>
      </c>
      <c r="D85" t="s">
        <v>361</v>
      </c>
      <c r="E85" t="s">
        <v>362</v>
      </c>
      <c r="F85">
        <v>10</v>
      </c>
      <c r="G85">
        <v>685.94</v>
      </c>
      <c r="H85">
        <v>6859.4000000000015</v>
      </c>
      <c r="I85" t="s">
        <v>348</v>
      </c>
    </row>
    <row r="86" spans="1:9" x14ac:dyDescent="0.3">
      <c r="A86" t="s">
        <v>465</v>
      </c>
      <c r="B86" s="1">
        <v>46149</v>
      </c>
      <c r="C86" t="s">
        <v>396</v>
      </c>
      <c r="D86" t="s">
        <v>397</v>
      </c>
      <c r="E86" t="s">
        <v>376</v>
      </c>
      <c r="F86">
        <v>28</v>
      </c>
      <c r="G86">
        <v>332.52</v>
      </c>
      <c r="H86">
        <v>9310.56</v>
      </c>
      <c r="I86" t="s">
        <v>1238</v>
      </c>
    </row>
    <row r="87" spans="1:9" x14ac:dyDescent="0.3">
      <c r="A87" t="s">
        <v>466</v>
      </c>
      <c r="B87" s="1">
        <v>46097</v>
      </c>
      <c r="C87" t="s">
        <v>396</v>
      </c>
      <c r="D87" t="s">
        <v>397</v>
      </c>
      <c r="E87" t="s">
        <v>376</v>
      </c>
      <c r="F87">
        <v>6</v>
      </c>
      <c r="G87">
        <v>324.89999999999998</v>
      </c>
      <c r="H87">
        <v>1949.4</v>
      </c>
      <c r="I87" t="s">
        <v>358</v>
      </c>
    </row>
    <row r="88" spans="1:9" x14ac:dyDescent="0.3">
      <c r="A88" t="s">
        <v>467</v>
      </c>
      <c r="B88" s="1">
        <v>46043</v>
      </c>
      <c r="C88" t="s">
        <v>396</v>
      </c>
      <c r="D88" t="s">
        <v>397</v>
      </c>
      <c r="E88" t="s">
        <v>376</v>
      </c>
      <c r="F88">
        <v>23</v>
      </c>
      <c r="G88">
        <v>365.33</v>
      </c>
      <c r="H88">
        <v>8402.59</v>
      </c>
      <c r="I88" t="s">
        <v>1238</v>
      </c>
    </row>
    <row r="89" spans="1:9" x14ac:dyDescent="0.3">
      <c r="A89" t="s">
        <v>468</v>
      </c>
      <c r="B89" s="1">
        <v>46246</v>
      </c>
      <c r="C89" t="s">
        <v>400</v>
      </c>
      <c r="D89" t="s">
        <v>401</v>
      </c>
      <c r="E89" t="s">
        <v>384</v>
      </c>
      <c r="F89">
        <v>23</v>
      </c>
      <c r="G89">
        <v>594.48</v>
      </c>
      <c r="H89">
        <v>13673.04</v>
      </c>
      <c r="I89" t="s">
        <v>1238</v>
      </c>
    </row>
    <row r="90" spans="1:9" x14ac:dyDescent="0.3">
      <c r="A90" t="s">
        <v>469</v>
      </c>
      <c r="B90" s="1">
        <v>46179</v>
      </c>
      <c r="C90" t="s">
        <v>360</v>
      </c>
      <c r="D90" t="s">
        <v>361</v>
      </c>
      <c r="E90" t="s">
        <v>362</v>
      </c>
      <c r="F90">
        <v>13</v>
      </c>
      <c r="G90">
        <v>712.81</v>
      </c>
      <c r="H90">
        <v>9266.5299999999988</v>
      </c>
      <c r="I90" t="s">
        <v>363</v>
      </c>
    </row>
    <row r="91" spans="1:9" x14ac:dyDescent="0.3">
      <c r="A91" t="s">
        <v>470</v>
      </c>
      <c r="B91" s="1">
        <v>46126</v>
      </c>
      <c r="C91" t="s">
        <v>415</v>
      </c>
      <c r="D91" t="s">
        <v>416</v>
      </c>
      <c r="E91" t="s">
        <v>347</v>
      </c>
      <c r="F91">
        <v>7</v>
      </c>
      <c r="G91">
        <v>715.88</v>
      </c>
      <c r="H91">
        <v>5011.16</v>
      </c>
      <c r="I91" t="s">
        <v>1238</v>
      </c>
    </row>
    <row r="92" spans="1:9" x14ac:dyDescent="0.3">
      <c r="A92" t="s">
        <v>471</v>
      </c>
      <c r="B92" s="1">
        <v>46194</v>
      </c>
      <c r="C92" t="s">
        <v>387</v>
      </c>
      <c r="D92" t="s">
        <v>388</v>
      </c>
      <c r="E92" t="s">
        <v>347</v>
      </c>
      <c r="F92">
        <v>20</v>
      </c>
      <c r="G92">
        <v>535.79999999999995</v>
      </c>
      <c r="H92">
        <v>10716</v>
      </c>
      <c r="I92" t="s">
        <v>348</v>
      </c>
    </row>
    <row r="93" spans="1:9" x14ac:dyDescent="0.3">
      <c r="A93" t="s">
        <v>472</v>
      </c>
      <c r="B93" s="1">
        <v>46183</v>
      </c>
      <c r="C93" t="s">
        <v>393</v>
      </c>
      <c r="D93" t="s">
        <v>394</v>
      </c>
      <c r="E93" t="s">
        <v>371</v>
      </c>
      <c r="F93">
        <v>15</v>
      </c>
      <c r="G93">
        <v>705.57</v>
      </c>
      <c r="H93">
        <v>10583.55</v>
      </c>
      <c r="I93" t="s">
        <v>353</v>
      </c>
    </row>
    <row r="94" spans="1:9" x14ac:dyDescent="0.3">
      <c r="A94" t="s">
        <v>473</v>
      </c>
      <c r="B94" s="1">
        <v>46209</v>
      </c>
      <c r="C94" t="s">
        <v>374</v>
      </c>
      <c r="D94" t="s">
        <v>375</v>
      </c>
      <c r="E94" t="s">
        <v>376</v>
      </c>
      <c r="F94">
        <v>8</v>
      </c>
      <c r="G94">
        <v>467.71</v>
      </c>
      <c r="H94">
        <v>3741.68</v>
      </c>
      <c r="I94" t="s">
        <v>348</v>
      </c>
    </row>
    <row r="95" spans="1:9" x14ac:dyDescent="0.3">
      <c r="A95" t="s">
        <v>474</v>
      </c>
      <c r="B95" s="1">
        <v>46246</v>
      </c>
      <c r="C95" t="s">
        <v>415</v>
      </c>
      <c r="D95" t="s">
        <v>416</v>
      </c>
      <c r="E95" t="s">
        <v>347</v>
      </c>
      <c r="F95">
        <v>20</v>
      </c>
      <c r="G95">
        <v>781.08</v>
      </c>
      <c r="H95">
        <v>15621.6</v>
      </c>
      <c r="I95" t="s">
        <v>1238</v>
      </c>
    </row>
    <row r="96" spans="1:9" x14ac:dyDescent="0.3">
      <c r="A96" t="s">
        <v>475</v>
      </c>
      <c r="B96" s="1">
        <v>46138</v>
      </c>
      <c r="C96" t="s">
        <v>355</v>
      </c>
      <c r="D96" t="s">
        <v>356</v>
      </c>
      <c r="E96" t="s">
        <v>343</v>
      </c>
      <c r="F96">
        <v>19</v>
      </c>
      <c r="G96">
        <v>280.11</v>
      </c>
      <c r="H96">
        <v>5322.09</v>
      </c>
      <c r="I96" t="s">
        <v>358</v>
      </c>
    </row>
    <row r="97" spans="1:9" x14ac:dyDescent="0.3">
      <c r="A97" t="s">
        <v>476</v>
      </c>
      <c r="B97" s="1">
        <v>46138</v>
      </c>
      <c r="C97" t="s">
        <v>366</v>
      </c>
      <c r="D97" t="s">
        <v>367</v>
      </c>
      <c r="E97" t="s">
        <v>352</v>
      </c>
      <c r="F97">
        <v>21</v>
      </c>
      <c r="G97">
        <v>882.79</v>
      </c>
      <c r="H97">
        <v>18538.59</v>
      </c>
      <c r="I97" t="s">
        <v>353</v>
      </c>
    </row>
    <row r="98" spans="1:9" x14ac:dyDescent="0.3">
      <c r="A98" t="s">
        <v>477</v>
      </c>
      <c r="B98" s="1">
        <v>46101</v>
      </c>
      <c r="C98" t="s">
        <v>345</v>
      </c>
      <c r="D98" t="s">
        <v>346</v>
      </c>
      <c r="E98" t="s">
        <v>347</v>
      </c>
      <c r="F98">
        <v>26</v>
      </c>
      <c r="G98">
        <v>424.44</v>
      </c>
      <c r="H98">
        <v>11035.44</v>
      </c>
      <c r="I98" t="s">
        <v>1238</v>
      </c>
    </row>
    <row r="99" spans="1:9" x14ac:dyDescent="0.3">
      <c r="A99" t="s">
        <v>478</v>
      </c>
      <c r="B99" s="1">
        <v>46030</v>
      </c>
      <c r="C99" t="s">
        <v>374</v>
      </c>
      <c r="D99" t="s">
        <v>375</v>
      </c>
      <c r="E99" t="s">
        <v>376</v>
      </c>
      <c r="F99">
        <v>22</v>
      </c>
      <c r="G99">
        <v>470.98</v>
      </c>
      <c r="H99">
        <v>10361.56</v>
      </c>
      <c r="I99" t="s">
        <v>1238</v>
      </c>
    </row>
    <row r="100" spans="1:9" x14ac:dyDescent="0.3">
      <c r="A100" t="s">
        <v>479</v>
      </c>
      <c r="B100" s="1">
        <v>46120</v>
      </c>
      <c r="C100" t="s">
        <v>396</v>
      </c>
      <c r="D100" t="s">
        <v>397</v>
      </c>
      <c r="E100" t="s">
        <v>376</v>
      </c>
      <c r="F100">
        <v>19</v>
      </c>
      <c r="G100">
        <v>361.29</v>
      </c>
      <c r="H100">
        <v>6864.51</v>
      </c>
      <c r="I100" t="s">
        <v>358</v>
      </c>
    </row>
    <row r="101" spans="1:9" x14ac:dyDescent="0.3">
      <c r="A101" t="s">
        <v>480</v>
      </c>
      <c r="B101" s="1">
        <v>46023</v>
      </c>
      <c r="C101" t="s">
        <v>396</v>
      </c>
      <c r="D101" t="s">
        <v>397</v>
      </c>
      <c r="E101" t="s">
        <v>376</v>
      </c>
      <c r="F101">
        <v>24</v>
      </c>
      <c r="G101">
        <v>346.76</v>
      </c>
      <c r="H101">
        <v>8322.24</v>
      </c>
      <c r="I101" t="s">
        <v>353</v>
      </c>
    </row>
    <row r="102" spans="1:9" x14ac:dyDescent="0.3">
      <c r="A102" t="s">
        <v>481</v>
      </c>
      <c r="B102" s="1">
        <v>46143</v>
      </c>
      <c r="C102" t="s">
        <v>396</v>
      </c>
      <c r="D102" t="s">
        <v>397</v>
      </c>
      <c r="E102" t="s">
        <v>376</v>
      </c>
      <c r="F102">
        <v>19</v>
      </c>
      <c r="G102">
        <v>338.25</v>
      </c>
      <c r="H102">
        <v>6426.75</v>
      </c>
      <c r="I102" t="s">
        <v>358</v>
      </c>
    </row>
    <row r="103" spans="1:9" x14ac:dyDescent="0.3">
      <c r="A103" t="s">
        <v>482</v>
      </c>
      <c r="B103" s="1">
        <v>46243</v>
      </c>
      <c r="C103" t="s">
        <v>345</v>
      </c>
      <c r="D103" t="s">
        <v>346</v>
      </c>
      <c r="E103" t="s">
        <v>347</v>
      </c>
      <c r="F103">
        <v>22</v>
      </c>
      <c r="G103">
        <v>400.69</v>
      </c>
      <c r="H103">
        <v>8815.18</v>
      </c>
      <c r="I103" t="s">
        <v>358</v>
      </c>
    </row>
    <row r="104" spans="1:9" x14ac:dyDescent="0.3">
      <c r="A104" t="s">
        <v>483</v>
      </c>
      <c r="B104" s="1">
        <v>46113</v>
      </c>
      <c r="C104" t="s">
        <v>382</v>
      </c>
      <c r="D104" t="s">
        <v>383</v>
      </c>
      <c r="E104" t="s">
        <v>384</v>
      </c>
      <c r="F104">
        <v>10</v>
      </c>
      <c r="G104">
        <v>677.59</v>
      </c>
      <c r="H104">
        <v>6775.9000000000015</v>
      </c>
      <c r="I104" t="s">
        <v>353</v>
      </c>
    </row>
    <row r="105" spans="1:9" x14ac:dyDescent="0.3">
      <c r="A105" t="s">
        <v>484</v>
      </c>
      <c r="B105" s="1">
        <v>46078</v>
      </c>
      <c r="C105" t="s">
        <v>387</v>
      </c>
      <c r="D105" t="s">
        <v>388</v>
      </c>
      <c r="E105" t="s">
        <v>347</v>
      </c>
      <c r="F105">
        <v>9</v>
      </c>
      <c r="G105">
        <v>523.23</v>
      </c>
      <c r="H105">
        <v>4709.07</v>
      </c>
      <c r="I105" t="s">
        <v>358</v>
      </c>
    </row>
    <row r="106" spans="1:9" x14ac:dyDescent="0.3">
      <c r="A106" t="s">
        <v>485</v>
      </c>
      <c r="B106" s="1">
        <v>46044</v>
      </c>
      <c r="C106" t="s">
        <v>355</v>
      </c>
      <c r="D106" t="s">
        <v>356</v>
      </c>
      <c r="E106" t="s">
        <v>343</v>
      </c>
      <c r="F106">
        <v>25</v>
      </c>
      <c r="G106">
        <v>292.02</v>
      </c>
      <c r="H106">
        <v>7300.5</v>
      </c>
      <c r="I106" t="s">
        <v>1238</v>
      </c>
    </row>
    <row r="107" spans="1:9" x14ac:dyDescent="0.3">
      <c r="A107" t="s">
        <v>486</v>
      </c>
      <c r="B107" s="1">
        <v>46150</v>
      </c>
      <c r="C107" t="s">
        <v>341</v>
      </c>
      <c r="D107" t="s">
        <v>342</v>
      </c>
      <c r="E107" t="s">
        <v>343</v>
      </c>
      <c r="F107">
        <v>20</v>
      </c>
      <c r="G107">
        <v>443.3</v>
      </c>
      <c r="H107">
        <v>8866</v>
      </c>
      <c r="I107" t="s">
        <v>348</v>
      </c>
    </row>
    <row r="108" spans="1:9" x14ac:dyDescent="0.3">
      <c r="A108" t="s">
        <v>487</v>
      </c>
      <c r="B108" s="1">
        <v>46152</v>
      </c>
      <c r="C108" t="s">
        <v>393</v>
      </c>
      <c r="D108" t="s">
        <v>394</v>
      </c>
      <c r="E108" t="s">
        <v>371</v>
      </c>
      <c r="F108">
        <v>21</v>
      </c>
      <c r="G108">
        <v>669.2</v>
      </c>
      <c r="H108">
        <v>14053.2</v>
      </c>
      <c r="I108" t="s">
        <v>363</v>
      </c>
    </row>
    <row r="109" spans="1:9" x14ac:dyDescent="0.3">
      <c r="A109" t="s">
        <v>488</v>
      </c>
      <c r="B109" s="1">
        <v>46156</v>
      </c>
      <c r="C109" t="s">
        <v>341</v>
      </c>
      <c r="D109" t="s">
        <v>342</v>
      </c>
      <c r="E109" t="s">
        <v>343</v>
      </c>
      <c r="F109">
        <v>11</v>
      </c>
      <c r="G109">
        <v>413.54</v>
      </c>
      <c r="H109">
        <v>4548.9400000000014</v>
      </c>
      <c r="I109" t="s">
        <v>348</v>
      </c>
    </row>
    <row r="110" spans="1:9" x14ac:dyDescent="0.3">
      <c r="A110" t="s">
        <v>489</v>
      </c>
      <c r="B110" s="1">
        <v>46170</v>
      </c>
      <c r="C110" t="s">
        <v>360</v>
      </c>
      <c r="D110" t="s">
        <v>361</v>
      </c>
      <c r="E110" t="s">
        <v>362</v>
      </c>
      <c r="F110">
        <v>29</v>
      </c>
      <c r="G110">
        <v>664.08</v>
      </c>
      <c r="H110">
        <v>19258.32</v>
      </c>
      <c r="I110" t="s">
        <v>1238</v>
      </c>
    </row>
    <row r="111" spans="1:9" x14ac:dyDescent="0.3">
      <c r="A111" t="s">
        <v>490</v>
      </c>
      <c r="B111" s="1">
        <v>46219</v>
      </c>
      <c r="C111" t="s">
        <v>382</v>
      </c>
      <c r="D111" t="s">
        <v>383</v>
      </c>
      <c r="E111" t="s">
        <v>384</v>
      </c>
      <c r="F111">
        <v>9</v>
      </c>
      <c r="G111">
        <v>690.98</v>
      </c>
      <c r="H111">
        <v>6218.82</v>
      </c>
      <c r="I111" t="s">
        <v>353</v>
      </c>
    </row>
    <row r="112" spans="1:9" x14ac:dyDescent="0.3">
      <c r="A112" t="s">
        <v>491</v>
      </c>
      <c r="B112" s="1">
        <v>46122</v>
      </c>
      <c r="C112" t="s">
        <v>382</v>
      </c>
      <c r="D112" t="s">
        <v>383</v>
      </c>
      <c r="E112" t="s">
        <v>384</v>
      </c>
      <c r="F112">
        <v>6</v>
      </c>
      <c r="G112">
        <v>671.62</v>
      </c>
      <c r="H112">
        <v>4029.72</v>
      </c>
      <c r="I112" t="s">
        <v>353</v>
      </c>
    </row>
    <row r="113" spans="1:9" x14ac:dyDescent="0.3">
      <c r="A113" t="s">
        <v>492</v>
      </c>
      <c r="B113" s="1">
        <v>46119</v>
      </c>
      <c r="C113" t="s">
        <v>360</v>
      </c>
      <c r="D113" t="s">
        <v>361</v>
      </c>
      <c r="E113" t="s">
        <v>362</v>
      </c>
      <c r="F113">
        <v>10</v>
      </c>
      <c r="G113">
        <v>690.38</v>
      </c>
      <c r="H113">
        <v>6903.8</v>
      </c>
      <c r="I113" t="s">
        <v>353</v>
      </c>
    </row>
    <row r="114" spans="1:9" x14ac:dyDescent="0.3">
      <c r="A114" t="s">
        <v>493</v>
      </c>
      <c r="B114" s="1">
        <v>46023</v>
      </c>
      <c r="C114" t="s">
        <v>360</v>
      </c>
      <c r="D114" t="s">
        <v>361</v>
      </c>
      <c r="E114" t="s">
        <v>362</v>
      </c>
      <c r="F114">
        <v>5</v>
      </c>
      <c r="G114">
        <v>646.09</v>
      </c>
      <c r="H114">
        <v>3230.45</v>
      </c>
      <c r="I114" t="s">
        <v>363</v>
      </c>
    </row>
    <row r="115" spans="1:9" x14ac:dyDescent="0.3">
      <c r="A115" t="s">
        <v>494</v>
      </c>
      <c r="B115" s="1">
        <v>46081</v>
      </c>
      <c r="C115" t="s">
        <v>355</v>
      </c>
      <c r="D115" t="s">
        <v>356</v>
      </c>
      <c r="E115" t="s">
        <v>343</v>
      </c>
      <c r="F115">
        <v>22</v>
      </c>
      <c r="G115">
        <v>278.85000000000002</v>
      </c>
      <c r="H115">
        <v>6134.7000000000007</v>
      </c>
      <c r="I115" t="s">
        <v>348</v>
      </c>
    </row>
    <row r="116" spans="1:9" x14ac:dyDescent="0.3">
      <c r="A116" t="s">
        <v>495</v>
      </c>
      <c r="B116" s="1">
        <v>46250</v>
      </c>
      <c r="C116" t="s">
        <v>350</v>
      </c>
      <c r="D116" t="s">
        <v>351</v>
      </c>
      <c r="E116" t="s">
        <v>352</v>
      </c>
      <c r="F116">
        <v>14</v>
      </c>
      <c r="G116">
        <v>504.56</v>
      </c>
      <c r="H116">
        <v>7063.84</v>
      </c>
      <c r="I116" t="s">
        <v>363</v>
      </c>
    </row>
    <row r="117" spans="1:9" x14ac:dyDescent="0.3">
      <c r="A117" t="s">
        <v>496</v>
      </c>
      <c r="B117" s="1">
        <v>46136</v>
      </c>
      <c r="C117" t="s">
        <v>419</v>
      </c>
      <c r="D117" t="s">
        <v>420</v>
      </c>
      <c r="E117" t="s">
        <v>362</v>
      </c>
      <c r="F117">
        <v>20</v>
      </c>
      <c r="G117">
        <v>807.71</v>
      </c>
      <c r="H117">
        <v>16154.2</v>
      </c>
      <c r="I117" t="s">
        <v>353</v>
      </c>
    </row>
    <row r="118" spans="1:9" x14ac:dyDescent="0.3">
      <c r="A118" t="s">
        <v>497</v>
      </c>
      <c r="B118" s="1">
        <v>46206</v>
      </c>
      <c r="C118" t="s">
        <v>400</v>
      </c>
      <c r="D118" t="s">
        <v>401</v>
      </c>
      <c r="E118" t="s">
        <v>384</v>
      </c>
      <c r="F118">
        <v>28</v>
      </c>
      <c r="G118">
        <v>570.69000000000005</v>
      </c>
      <c r="H118">
        <v>15979.32</v>
      </c>
      <c r="I118" t="s">
        <v>353</v>
      </c>
    </row>
    <row r="119" spans="1:9" x14ac:dyDescent="0.3">
      <c r="A119" t="s">
        <v>498</v>
      </c>
      <c r="B119" s="1">
        <v>46193</v>
      </c>
      <c r="C119" t="s">
        <v>419</v>
      </c>
      <c r="D119" t="s">
        <v>420</v>
      </c>
      <c r="E119" t="s">
        <v>362</v>
      </c>
      <c r="F119">
        <v>17</v>
      </c>
      <c r="G119">
        <v>863.67</v>
      </c>
      <c r="H119">
        <v>14682.39</v>
      </c>
      <c r="I119" t="s">
        <v>358</v>
      </c>
    </row>
    <row r="120" spans="1:9" x14ac:dyDescent="0.3">
      <c r="A120" t="s">
        <v>499</v>
      </c>
      <c r="B120" s="1">
        <v>46173</v>
      </c>
      <c r="C120" t="s">
        <v>369</v>
      </c>
      <c r="D120" t="s">
        <v>370</v>
      </c>
      <c r="E120" t="s">
        <v>371</v>
      </c>
      <c r="F120">
        <v>21</v>
      </c>
      <c r="G120">
        <v>928.79</v>
      </c>
      <c r="H120">
        <v>19504.59</v>
      </c>
      <c r="I120" t="s">
        <v>1238</v>
      </c>
    </row>
    <row r="121" spans="1:9" x14ac:dyDescent="0.3">
      <c r="A121" t="s">
        <v>500</v>
      </c>
      <c r="B121" s="1">
        <v>46218</v>
      </c>
      <c r="C121" t="s">
        <v>396</v>
      </c>
      <c r="D121" t="s">
        <v>397</v>
      </c>
      <c r="E121" t="s">
        <v>376</v>
      </c>
      <c r="F121">
        <v>30</v>
      </c>
      <c r="G121">
        <v>346.34</v>
      </c>
      <c r="H121">
        <v>10390.200000000001</v>
      </c>
      <c r="I121" t="s">
        <v>1238</v>
      </c>
    </row>
    <row r="122" spans="1:9" x14ac:dyDescent="0.3">
      <c r="A122" t="s">
        <v>501</v>
      </c>
      <c r="B122" s="1">
        <v>46029</v>
      </c>
      <c r="C122" t="s">
        <v>360</v>
      </c>
      <c r="D122" t="s">
        <v>361</v>
      </c>
      <c r="E122" t="s">
        <v>362</v>
      </c>
      <c r="F122">
        <v>28</v>
      </c>
      <c r="G122">
        <v>653.95000000000005</v>
      </c>
      <c r="H122">
        <v>18310.599999999999</v>
      </c>
      <c r="I122" t="s">
        <v>353</v>
      </c>
    </row>
    <row r="123" spans="1:9" x14ac:dyDescent="0.3">
      <c r="A123" t="s">
        <v>502</v>
      </c>
      <c r="B123" s="1">
        <v>46074</v>
      </c>
      <c r="C123" t="s">
        <v>387</v>
      </c>
      <c r="D123" t="s">
        <v>388</v>
      </c>
      <c r="E123" t="s">
        <v>347</v>
      </c>
      <c r="F123">
        <v>8</v>
      </c>
      <c r="G123">
        <v>545.47</v>
      </c>
      <c r="H123">
        <v>4363.76</v>
      </c>
      <c r="I123" t="s">
        <v>353</v>
      </c>
    </row>
    <row r="124" spans="1:9" x14ac:dyDescent="0.3">
      <c r="A124" t="s">
        <v>503</v>
      </c>
      <c r="B124" s="1">
        <v>46031</v>
      </c>
      <c r="C124" t="s">
        <v>393</v>
      </c>
      <c r="D124" t="s">
        <v>394</v>
      </c>
      <c r="E124" t="s">
        <v>371</v>
      </c>
      <c r="F124">
        <v>25</v>
      </c>
      <c r="G124">
        <v>692.65</v>
      </c>
      <c r="H124">
        <v>17316.25</v>
      </c>
      <c r="I124" t="s">
        <v>1238</v>
      </c>
    </row>
    <row r="125" spans="1:9" x14ac:dyDescent="0.3">
      <c r="A125" t="s">
        <v>504</v>
      </c>
      <c r="B125" s="1">
        <v>46206</v>
      </c>
      <c r="C125" t="s">
        <v>374</v>
      </c>
      <c r="D125" t="s">
        <v>375</v>
      </c>
      <c r="E125" t="s">
        <v>376</v>
      </c>
      <c r="F125">
        <v>16</v>
      </c>
      <c r="G125">
        <v>490.69</v>
      </c>
      <c r="H125">
        <v>7851.04</v>
      </c>
      <c r="I125" t="s">
        <v>1238</v>
      </c>
    </row>
    <row r="126" spans="1:9" x14ac:dyDescent="0.3">
      <c r="A126" t="s">
        <v>505</v>
      </c>
      <c r="B126" s="1">
        <v>46188</v>
      </c>
      <c r="C126" t="s">
        <v>419</v>
      </c>
      <c r="D126" t="s">
        <v>420</v>
      </c>
      <c r="E126" t="s">
        <v>362</v>
      </c>
      <c r="F126">
        <v>24</v>
      </c>
      <c r="G126">
        <v>873.44</v>
      </c>
      <c r="H126">
        <v>20962.560000000001</v>
      </c>
      <c r="I126" t="s">
        <v>348</v>
      </c>
    </row>
    <row r="127" spans="1:9" x14ac:dyDescent="0.3">
      <c r="A127" t="s">
        <v>506</v>
      </c>
      <c r="B127" s="1">
        <v>46150</v>
      </c>
      <c r="C127" t="s">
        <v>419</v>
      </c>
      <c r="D127" t="s">
        <v>420</v>
      </c>
      <c r="E127" t="s">
        <v>362</v>
      </c>
      <c r="F127">
        <v>21</v>
      </c>
      <c r="G127">
        <v>797.14</v>
      </c>
      <c r="H127">
        <v>16739.939999999999</v>
      </c>
      <c r="I127" t="s">
        <v>1238</v>
      </c>
    </row>
    <row r="128" spans="1:9" x14ac:dyDescent="0.3">
      <c r="A128" t="s">
        <v>507</v>
      </c>
      <c r="B128" s="1">
        <v>46121</v>
      </c>
      <c r="C128" t="s">
        <v>419</v>
      </c>
      <c r="D128" t="s">
        <v>420</v>
      </c>
      <c r="E128" t="s">
        <v>362</v>
      </c>
      <c r="F128">
        <v>29</v>
      </c>
      <c r="G128">
        <v>814.2</v>
      </c>
      <c r="H128">
        <v>23611.8</v>
      </c>
      <c r="I128" t="s">
        <v>358</v>
      </c>
    </row>
    <row r="129" spans="1:9" x14ac:dyDescent="0.3">
      <c r="A129" t="s">
        <v>508</v>
      </c>
      <c r="B129" s="1">
        <v>46179</v>
      </c>
      <c r="C129" t="s">
        <v>419</v>
      </c>
      <c r="D129" t="s">
        <v>420</v>
      </c>
      <c r="E129" t="s">
        <v>362</v>
      </c>
      <c r="F129">
        <v>15</v>
      </c>
      <c r="G129">
        <v>882.04</v>
      </c>
      <c r="H129">
        <v>13230.6</v>
      </c>
      <c r="I129" t="s">
        <v>1238</v>
      </c>
    </row>
    <row r="130" spans="1:9" x14ac:dyDescent="0.3">
      <c r="A130" t="s">
        <v>509</v>
      </c>
      <c r="B130" s="1">
        <v>46053</v>
      </c>
      <c r="C130" t="s">
        <v>382</v>
      </c>
      <c r="D130" t="s">
        <v>383</v>
      </c>
      <c r="E130" t="s">
        <v>384</v>
      </c>
      <c r="F130">
        <v>14</v>
      </c>
      <c r="G130">
        <v>681.74</v>
      </c>
      <c r="H130">
        <v>9544.36</v>
      </c>
      <c r="I130" t="s">
        <v>353</v>
      </c>
    </row>
    <row r="131" spans="1:9" x14ac:dyDescent="0.3">
      <c r="A131" t="s">
        <v>510</v>
      </c>
      <c r="B131" s="1">
        <v>46164</v>
      </c>
      <c r="C131" t="s">
        <v>360</v>
      </c>
      <c r="D131" t="s">
        <v>361</v>
      </c>
      <c r="E131" t="s">
        <v>362</v>
      </c>
      <c r="F131">
        <v>30</v>
      </c>
      <c r="G131">
        <v>651.95000000000005</v>
      </c>
      <c r="H131">
        <v>19558.5</v>
      </c>
      <c r="I131" t="s">
        <v>348</v>
      </c>
    </row>
    <row r="132" spans="1:9" x14ac:dyDescent="0.3">
      <c r="A132" t="s">
        <v>511</v>
      </c>
      <c r="B132" s="1">
        <v>46217</v>
      </c>
      <c r="C132" t="s">
        <v>374</v>
      </c>
      <c r="D132" t="s">
        <v>375</v>
      </c>
      <c r="E132" t="s">
        <v>376</v>
      </c>
      <c r="F132">
        <v>18</v>
      </c>
      <c r="G132">
        <v>488.36</v>
      </c>
      <c r="H132">
        <v>8790.48</v>
      </c>
      <c r="I132" t="s">
        <v>1238</v>
      </c>
    </row>
    <row r="133" spans="1:9" x14ac:dyDescent="0.3">
      <c r="A133" t="s">
        <v>512</v>
      </c>
      <c r="B133" s="1">
        <v>46136</v>
      </c>
      <c r="C133" t="s">
        <v>382</v>
      </c>
      <c r="D133" t="s">
        <v>383</v>
      </c>
      <c r="E133" t="s">
        <v>384</v>
      </c>
      <c r="F133">
        <v>16</v>
      </c>
      <c r="G133">
        <v>673.57</v>
      </c>
      <c r="H133">
        <v>10777.12</v>
      </c>
      <c r="I133" t="s">
        <v>358</v>
      </c>
    </row>
    <row r="134" spans="1:9" x14ac:dyDescent="0.3">
      <c r="A134" t="s">
        <v>513</v>
      </c>
      <c r="B134" s="1">
        <v>46220</v>
      </c>
      <c r="C134" t="s">
        <v>387</v>
      </c>
      <c r="D134" t="s">
        <v>388</v>
      </c>
      <c r="E134" t="s">
        <v>347</v>
      </c>
      <c r="F134">
        <v>24</v>
      </c>
      <c r="G134">
        <v>536.85</v>
      </c>
      <c r="H134">
        <v>12884.4</v>
      </c>
      <c r="I134" t="s">
        <v>358</v>
      </c>
    </row>
    <row r="135" spans="1:9" x14ac:dyDescent="0.3">
      <c r="A135" t="s">
        <v>514</v>
      </c>
      <c r="B135" s="1">
        <v>46043</v>
      </c>
      <c r="C135" t="s">
        <v>387</v>
      </c>
      <c r="D135" t="s">
        <v>388</v>
      </c>
      <c r="E135" t="s">
        <v>347</v>
      </c>
      <c r="F135">
        <v>23</v>
      </c>
      <c r="G135">
        <v>510.61</v>
      </c>
      <c r="H135">
        <v>11744.03</v>
      </c>
      <c r="I135" t="s">
        <v>358</v>
      </c>
    </row>
    <row r="136" spans="1:9" x14ac:dyDescent="0.3">
      <c r="A136" t="s">
        <v>515</v>
      </c>
      <c r="B136" s="1">
        <v>46102</v>
      </c>
      <c r="C136" t="s">
        <v>350</v>
      </c>
      <c r="D136" t="s">
        <v>351</v>
      </c>
      <c r="E136" t="s">
        <v>352</v>
      </c>
      <c r="F136">
        <v>26</v>
      </c>
      <c r="G136">
        <v>497.73</v>
      </c>
      <c r="H136">
        <v>12940.98</v>
      </c>
      <c r="I136" t="s">
        <v>363</v>
      </c>
    </row>
    <row r="137" spans="1:9" x14ac:dyDescent="0.3">
      <c r="A137" t="s">
        <v>516</v>
      </c>
      <c r="B137" s="1">
        <v>46193</v>
      </c>
      <c r="C137" t="s">
        <v>387</v>
      </c>
      <c r="D137" t="s">
        <v>388</v>
      </c>
      <c r="E137" t="s">
        <v>347</v>
      </c>
      <c r="F137">
        <v>8</v>
      </c>
      <c r="G137">
        <v>541.59</v>
      </c>
      <c r="H137">
        <v>4332.72</v>
      </c>
      <c r="I137" t="s">
        <v>348</v>
      </c>
    </row>
    <row r="138" spans="1:9" x14ac:dyDescent="0.3">
      <c r="A138" t="s">
        <v>517</v>
      </c>
      <c r="B138" s="1">
        <v>46203</v>
      </c>
      <c r="C138" t="s">
        <v>382</v>
      </c>
      <c r="D138" t="s">
        <v>383</v>
      </c>
      <c r="E138" t="s">
        <v>384</v>
      </c>
      <c r="F138">
        <v>27</v>
      </c>
      <c r="G138">
        <v>764.68</v>
      </c>
      <c r="H138">
        <v>20646.36</v>
      </c>
      <c r="I138" t="s">
        <v>363</v>
      </c>
    </row>
    <row r="139" spans="1:9" x14ac:dyDescent="0.3">
      <c r="A139" t="s">
        <v>518</v>
      </c>
      <c r="B139" s="1">
        <v>46218</v>
      </c>
      <c r="C139" t="s">
        <v>374</v>
      </c>
      <c r="D139" t="s">
        <v>375</v>
      </c>
      <c r="E139" t="s">
        <v>376</v>
      </c>
      <c r="F139">
        <v>6</v>
      </c>
      <c r="G139">
        <v>455.44</v>
      </c>
      <c r="H139">
        <v>2732.64</v>
      </c>
      <c r="I139" t="s">
        <v>1238</v>
      </c>
    </row>
    <row r="140" spans="1:9" x14ac:dyDescent="0.3">
      <c r="A140" t="s">
        <v>519</v>
      </c>
      <c r="B140" s="1">
        <v>46103</v>
      </c>
      <c r="C140" t="s">
        <v>345</v>
      </c>
      <c r="D140" t="s">
        <v>346</v>
      </c>
      <c r="E140" t="s">
        <v>347</v>
      </c>
      <c r="F140">
        <v>14</v>
      </c>
      <c r="G140">
        <v>387.55</v>
      </c>
      <c r="H140">
        <v>5425.7</v>
      </c>
      <c r="I140" t="s">
        <v>358</v>
      </c>
    </row>
    <row r="141" spans="1:9" x14ac:dyDescent="0.3">
      <c r="A141" t="s">
        <v>520</v>
      </c>
      <c r="B141" s="1">
        <v>46127</v>
      </c>
      <c r="C141" t="s">
        <v>350</v>
      </c>
      <c r="D141" t="s">
        <v>351</v>
      </c>
      <c r="E141" t="s">
        <v>352</v>
      </c>
      <c r="F141">
        <v>10</v>
      </c>
      <c r="G141">
        <v>542.76</v>
      </c>
      <c r="H141">
        <v>5427.6</v>
      </c>
      <c r="I141" t="s">
        <v>363</v>
      </c>
    </row>
    <row r="142" spans="1:9" x14ac:dyDescent="0.3">
      <c r="A142" t="s">
        <v>521</v>
      </c>
      <c r="B142" s="1">
        <v>46080</v>
      </c>
      <c r="C142" t="s">
        <v>387</v>
      </c>
      <c r="D142" t="s">
        <v>388</v>
      </c>
      <c r="E142" t="s">
        <v>347</v>
      </c>
      <c r="F142">
        <v>26</v>
      </c>
      <c r="G142">
        <v>486.39</v>
      </c>
      <c r="H142">
        <v>12646.14</v>
      </c>
      <c r="I142" t="s">
        <v>1238</v>
      </c>
    </row>
    <row r="143" spans="1:9" x14ac:dyDescent="0.3">
      <c r="A143" t="s">
        <v>522</v>
      </c>
      <c r="B143" s="1">
        <v>46045</v>
      </c>
      <c r="C143" t="s">
        <v>345</v>
      </c>
      <c r="D143" t="s">
        <v>346</v>
      </c>
      <c r="E143" t="s">
        <v>347</v>
      </c>
      <c r="F143">
        <v>10</v>
      </c>
      <c r="G143">
        <v>399.24</v>
      </c>
      <c r="H143">
        <v>3992.4</v>
      </c>
      <c r="I143" t="s">
        <v>353</v>
      </c>
    </row>
    <row r="144" spans="1:9" x14ac:dyDescent="0.3">
      <c r="A144" t="s">
        <v>523</v>
      </c>
      <c r="B144" s="1">
        <v>46049</v>
      </c>
      <c r="C144" t="s">
        <v>366</v>
      </c>
      <c r="D144" t="s">
        <v>367</v>
      </c>
      <c r="E144" t="s">
        <v>352</v>
      </c>
      <c r="F144">
        <v>11</v>
      </c>
      <c r="G144">
        <v>877.61</v>
      </c>
      <c r="H144">
        <v>9653.7100000000009</v>
      </c>
      <c r="I144" t="s">
        <v>353</v>
      </c>
    </row>
    <row r="145" spans="1:9" x14ac:dyDescent="0.3">
      <c r="A145" t="s">
        <v>524</v>
      </c>
      <c r="B145" s="1">
        <v>46077</v>
      </c>
      <c r="C145" t="s">
        <v>387</v>
      </c>
      <c r="D145" t="s">
        <v>388</v>
      </c>
      <c r="E145" t="s">
        <v>347</v>
      </c>
      <c r="F145">
        <v>19</v>
      </c>
      <c r="G145">
        <v>525.69000000000005</v>
      </c>
      <c r="H145">
        <v>9988.11</v>
      </c>
      <c r="I145" t="s">
        <v>1238</v>
      </c>
    </row>
    <row r="146" spans="1:9" x14ac:dyDescent="0.3">
      <c r="A146" t="s">
        <v>525</v>
      </c>
      <c r="B146" s="1">
        <v>46077</v>
      </c>
      <c r="C146" t="s">
        <v>382</v>
      </c>
      <c r="D146" t="s">
        <v>383</v>
      </c>
      <c r="E146" t="s">
        <v>384</v>
      </c>
      <c r="F146">
        <v>9</v>
      </c>
      <c r="G146">
        <v>685</v>
      </c>
      <c r="H146">
        <v>6165</v>
      </c>
      <c r="I146" t="s">
        <v>353</v>
      </c>
    </row>
    <row r="147" spans="1:9" x14ac:dyDescent="0.3">
      <c r="A147" t="s">
        <v>526</v>
      </c>
      <c r="B147" s="1">
        <v>46141</v>
      </c>
      <c r="C147" t="s">
        <v>387</v>
      </c>
      <c r="D147" t="s">
        <v>388</v>
      </c>
      <c r="E147" t="s">
        <v>347</v>
      </c>
      <c r="F147">
        <v>20</v>
      </c>
      <c r="G147">
        <v>544.73</v>
      </c>
      <c r="H147">
        <v>10894.6</v>
      </c>
      <c r="I147" t="s">
        <v>358</v>
      </c>
    </row>
    <row r="148" spans="1:9" x14ac:dyDescent="0.3">
      <c r="A148" t="s">
        <v>527</v>
      </c>
      <c r="B148" s="1">
        <v>46109</v>
      </c>
      <c r="C148" t="s">
        <v>369</v>
      </c>
      <c r="D148" t="s">
        <v>370</v>
      </c>
      <c r="E148" t="s">
        <v>371</v>
      </c>
      <c r="F148">
        <v>7</v>
      </c>
      <c r="G148">
        <v>901.44</v>
      </c>
      <c r="H148">
        <v>6310.08</v>
      </c>
      <c r="I148" t="s">
        <v>358</v>
      </c>
    </row>
    <row r="149" spans="1:9" x14ac:dyDescent="0.3">
      <c r="A149" t="s">
        <v>528</v>
      </c>
      <c r="B149" s="1">
        <v>46173</v>
      </c>
      <c r="C149" t="s">
        <v>345</v>
      </c>
      <c r="D149" t="s">
        <v>346</v>
      </c>
      <c r="E149" t="s">
        <v>347</v>
      </c>
      <c r="F149">
        <v>5</v>
      </c>
      <c r="G149">
        <v>427.2</v>
      </c>
      <c r="H149">
        <v>2136</v>
      </c>
      <c r="I149" t="s">
        <v>1238</v>
      </c>
    </row>
    <row r="150" spans="1:9" x14ac:dyDescent="0.3">
      <c r="A150" t="s">
        <v>529</v>
      </c>
      <c r="B150" s="1">
        <v>46127</v>
      </c>
      <c r="C150" t="s">
        <v>369</v>
      </c>
      <c r="D150" t="s">
        <v>370</v>
      </c>
      <c r="E150" t="s">
        <v>371</v>
      </c>
      <c r="F150">
        <v>22</v>
      </c>
      <c r="G150">
        <v>936.12</v>
      </c>
      <c r="H150">
        <v>20594.64</v>
      </c>
      <c r="I150" t="s">
        <v>348</v>
      </c>
    </row>
    <row r="151" spans="1:9" x14ac:dyDescent="0.3">
      <c r="A151" t="s">
        <v>530</v>
      </c>
      <c r="B151" s="1">
        <v>46028</v>
      </c>
      <c r="C151" t="s">
        <v>366</v>
      </c>
      <c r="D151" t="s">
        <v>367</v>
      </c>
      <c r="E151" t="s">
        <v>352</v>
      </c>
      <c r="F151">
        <v>18</v>
      </c>
      <c r="G151">
        <v>926.7</v>
      </c>
      <c r="H151">
        <v>16680.599999999999</v>
      </c>
      <c r="I151" t="s">
        <v>353</v>
      </c>
    </row>
    <row r="152" spans="1:9" x14ac:dyDescent="0.3">
      <c r="A152" t="s">
        <v>531</v>
      </c>
      <c r="B152" s="1">
        <v>46250</v>
      </c>
      <c r="C152" t="s">
        <v>360</v>
      </c>
      <c r="D152" t="s">
        <v>361</v>
      </c>
      <c r="E152" t="s">
        <v>362</v>
      </c>
      <c r="F152">
        <v>30</v>
      </c>
      <c r="G152">
        <v>678.33</v>
      </c>
      <c r="H152">
        <v>20349.900000000001</v>
      </c>
      <c r="I152" t="s">
        <v>358</v>
      </c>
    </row>
    <row r="153" spans="1:9" x14ac:dyDescent="0.3">
      <c r="A153" t="s">
        <v>532</v>
      </c>
      <c r="B153" s="1">
        <v>46137</v>
      </c>
      <c r="C153" t="s">
        <v>396</v>
      </c>
      <c r="D153" t="s">
        <v>397</v>
      </c>
      <c r="E153" t="s">
        <v>376</v>
      </c>
      <c r="F153">
        <v>21</v>
      </c>
      <c r="G153">
        <v>341.38</v>
      </c>
      <c r="H153">
        <v>7168.98</v>
      </c>
      <c r="I153" t="s">
        <v>353</v>
      </c>
    </row>
    <row r="154" spans="1:9" x14ac:dyDescent="0.3">
      <c r="A154" t="s">
        <v>533</v>
      </c>
      <c r="B154" s="1">
        <v>46063</v>
      </c>
      <c r="C154" t="s">
        <v>415</v>
      </c>
      <c r="D154" t="s">
        <v>416</v>
      </c>
      <c r="E154" t="s">
        <v>347</v>
      </c>
      <c r="F154">
        <v>16</v>
      </c>
      <c r="G154">
        <v>758.57</v>
      </c>
      <c r="H154">
        <v>12137.12</v>
      </c>
      <c r="I154" t="s">
        <v>1238</v>
      </c>
    </row>
    <row r="155" spans="1:9" x14ac:dyDescent="0.3">
      <c r="A155" t="s">
        <v>534</v>
      </c>
      <c r="B155" s="1">
        <v>46209</v>
      </c>
      <c r="C155" t="s">
        <v>350</v>
      </c>
      <c r="D155" t="s">
        <v>351</v>
      </c>
      <c r="E155" t="s">
        <v>352</v>
      </c>
      <c r="F155">
        <v>21</v>
      </c>
      <c r="G155">
        <v>510.36</v>
      </c>
      <c r="H155">
        <v>10717.56</v>
      </c>
      <c r="I155" t="s">
        <v>353</v>
      </c>
    </row>
    <row r="156" spans="1:9" x14ac:dyDescent="0.3">
      <c r="A156" t="s">
        <v>535</v>
      </c>
      <c r="B156" s="1">
        <v>46136</v>
      </c>
      <c r="C156" t="s">
        <v>369</v>
      </c>
      <c r="D156" t="s">
        <v>370</v>
      </c>
      <c r="E156" t="s">
        <v>371</v>
      </c>
      <c r="F156">
        <v>6</v>
      </c>
      <c r="G156">
        <v>872.25</v>
      </c>
      <c r="H156">
        <v>5233.5</v>
      </c>
      <c r="I156" t="s">
        <v>358</v>
      </c>
    </row>
    <row r="157" spans="1:9" x14ac:dyDescent="0.3">
      <c r="A157" t="s">
        <v>536</v>
      </c>
      <c r="B157" s="1">
        <v>46044</v>
      </c>
      <c r="C157" t="s">
        <v>374</v>
      </c>
      <c r="D157" t="s">
        <v>375</v>
      </c>
      <c r="E157" t="s">
        <v>376</v>
      </c>
      <c r="F157">
        <v>29</v>
      </c>
      <c r="G157">
        <v>474.18</v>
      </c>
      <c r="H157">
        <v>13751.22</v>
      </c>
      <c r="I157" t="s">
        <v>353</v>
      </c>
    </row>
    <row r="158" spans="1:9" x14ac:dyDescent="0.3">
      <c r="A158" t="s">
        <v>537</v>
      </c>
      <c r="B158" s="1">
        <v>46123</v>
      </c>
      <c r="C158" t="s">
        <v>387</v>
      </c>
      <c r="D158" t="s">
        <v>388</v>
      </c>
      <c r="E158" t="s">
        <v>347</v>
      </c>
      <c r="F158">
        <v>15</v>
      </c>
      <c r="G158">
        <v>482.17</v>
      </c>
      <c r="H158">
        <v>7232.55</v>
      </c>
      <c r="I158" t="s">
        <v>1238</v>
      </c>
    </row>
    <row r="159" spans="1:9" x14ac:dyDescent="0.3">
      <c r="A159" t="s">
        <v>538</v>
      </c>
      <c r="B159" s="1">
        <v>46110</v>
      </c>
      <c r="C159" t="s">
        <v>341</v>
      </c>
      <c r="D159" t="s">
        <v>342</v>
      </c>
      <c r="E159" t="s">
        <v>343</v>
      </c>
      <c r="F159">
        <v>10</v>
      </c>
      <c r="G159">
        <v>406.9</v>
      </c>
      <c r="H159">
        <v>4069</v>
      </c>
      <c r="I159" t="s">
        <v>348</v>
      </c>
    </row>
    <row r="160" spans="1:9" x14ac:dyDescent="0.3">
      <c r="A160" t="s">
        <v>539</v>
      </c>
      <c r="B160" s="1">
        <v>46152</v>
      </c>
      <c r="C160" t="s">
        <v>387</v>
      </c>
      <c r="D160" t="s">
        <v>388</v>
      </c>
      <c r="E160" t="s">
        <v>347</v>
      </c>
      <c r="F160">
        <v>28</v>
      </c>
      <c r="G160">
        <v>539.97</v>
      </c>
      <c r="H160">
        <v>15119.16</v>
      </c>
      <c r="I160" t="s">
        <v>348</v>
      </c>
    </row>
    <row r="161" spans="1:9" x14ac:dyDescent="0.3">
      <c r="A161" t="s">
        <v>540</v>
      </c>
      <c r="B161" s="1">
        <v>46103</v>
      </c>
      <c r="C161" t="s">
        <v>350</v>
      </c>
      <c r="D161" t="s">
        <v>351</v>
      </c>
      <c r="E161" t="s">
        <v>352</v>
      </c>
      <c r="F161">
        <v>28</v>
      </c>
      <c r="G161">
        <v>518.4</v>
      </c>
      <c r="H161">
        <v>14515.2</v>
      </c>
      <c r="I161" t="s">
        <v>348</v>
      </c>
    </row>
    <row r="162" spans="1:9" x14ac:dyDescent="0.3">
      <c r="A162" t="s">
        <v>541</v>
      </c>
      <c r="B162" s="1">
        <v>46190</v>
      </c>
      <c r="C162" t="s">
        <v>341</v>
      </c>
      <c r="D162" t="s">
        <v>342</v>
      </c>
      <c r="E162" t="s">
        <v>343</v>
      </c>
      <c r="F162">
        <v>22</v>
      </c>
      <c r="G162">
        <v>449.59</v>
      </c>
      <c r="H162">
        <v>9890.98</v>
      </c>
      <c r="I162" t="s">
        <v>353</v>
      </c>
    </row>
    <row r="163" spans="1:9" x14ac:dyDescent="0.3">
      <c r="A163" t="s">
        <v>542</v>
      </c>
      <c r="B163" s="1">
        <v>46205</v>
      </c>
      <c r="C163" t="s">
        <v>393</v>
      </c>
      <c r="D163" t="s">
        <v>394</v>
      </c>
      <c r="E163" t="s">
        <v>371</v>
      </c>
      <c r="F163">
        <v>25</v>
      </c>
      <c r="G163">
        <v>693.75</v>
      </c>
      <c r="H163">
        <v>17343.75</v>
      </c>
      <c r="I163" t="s">
        <v>358</v>
      </c>
    </row>
    <row r="164" spans="1:9" x14ac:dyDescent="0.3">
      <c r="A164" t="s">
        <v>543</v>
      </c>
      <c r="B164" s="1">
        <v>46040</v>
      </c>
      <c r="C164" t="s">
        <v>400</v>
      </c>
      <c r="D164" t="s">
        <v>401</v>
      </c>
      <c r="E164" t="s">
        <v>384</v>
      </c>
      <c r="F164">
        <v>14</v>
      </c>
      <c r="G164">
        <v>564.01</v>
      </c>
      <c r="H164">
        <v>7896.1399999999994</v>
      </c>
      <c r="I164" t="s">
        <v>353</v>
      </c>
    </row>
    <row r="165" spans="1:9" x14ac:dyDescent="0.3">
      <c r="A165" t="s">
        <v>544</v>
      </c>
      <c r="B165" s="1">
        <v>46039</v>
      </c>
      <c r="C165" t="s">
        <v>355</v>
      </c>
      <c r="D165" t="s">
        <v>356</v>
      </c>
      <c r="E165" t="s">
        <v>343</v>
      </c>
      <c r="F165">
        <v>9</v>
      </c>
      <c r="G165">
        <v>299.38</v>
      </c>
      <c r="H165">
        <v>2694.42</v>
      </c>
      <c r="I165" t="s">
        <v>348</v>
      </c>
    </row>
    <row r="166" spans="1:9" x14ac:dyDescent="0.3">
      <c r="A166" t="s">
        <v>545</v>
      </c>
      <c r="B166" s="1">
        <v>46154</v>
      </c>
      <c r="C166" t="s">
        <v>396</v>
      </c>
      <c r="D166" t="s">
        <v>397</v>
      </c>
      <c r="E166" t="s">
        <v>376</v>
      </c>
      <c r="F166">
        <v>21</v>
      </c>
      <c r="G166">
        <v>327.23</v>
      </c>
      <c r="H166">
        <v>6871.83</v>
      </c>
      <c r="I166" t="s">
        <v>353</v>
      </c>
    </row>
    <row r="167" spans="1:9" x14ac:dyDescent="0.3">
      <c r="A167" t="s">
        <v>546</v>
      </c>
      <c r="B167" s="1">
        <v>46069</v>
      </c>
      <c r="C167" t="s">
        <v>393</v>
      </c>
      <c r="D167" t="s">
        <v>394</v>
      </c>
      <c r="E167" t="s">
        <v>371</v>
      </c>
      <c r="F167">
        <v>24</v>
      </c>
      <c r="G167">
        <v>697.06</v>
      </c>
      <c r="H167">
        <v>16729.439999999999</v>
      </c>
      <c r="I167" t="s">
        <v>1238</v>
      </c>
    </row>
    <row r="168" spans="1:9" x14ac:dyDescent="0.3">
      <c r="A168" t="s">
        <v>547</v>
      </c>
      <c r="B168" s="1">
        <v>46177</v>
      </c>
      <c r="C168" t="s">
        <v>350</v>
      </c>
      <c r="D168" t="s">
        <v>351</v>
      </c>
      <c r="E168" t="s">
        <v>352</v>
      </c>
      <c r="F168">
        <v>13</v>
      </c>
      <c r="G168">
        <v>518.85</v>
      </c>
      <c r="H168">
        <v>6745.05</v>
      </c>
      <c r="I168" t="s">
        <v>363</v>
      </c>
    </row>
    <row r="169" spans="1:9" x14ac:dyDescent="0.3">
      <c r="A169" t="s">
        <v>548</v>
      </c>
      <c r="B169" s="1">
        <v>46202</v>
      </c>
      <c r="C169" t="s">
        <v>341</v>
      </c>
      <c r="D169" t="s">
        <v>342</v>
      </c>
      <c r="E169" t="s">
        <v>343</v>
      </c>
      <c r="F169">
        <v>27</v>
      </c>
      <c r="G169">
        <v>437.18</v>
      </c>
      <c r="H169">
        <v>11803.86</v>
      </c>
      <c r="I169" t="s">
        <v>353</v>
      </c>
    </row>
    <row r="170" spans="1:9" x14ac:dyDescent="0.3">
      <c r="A170" t="s">
        <v>549</v>
      </c>
      <c r="B170" s="1">
        <v>46114</v>
      </c>
      <c r="C170" t="s">
        <v>382</v>
      </c>
      <c r="D170" t="s">
        <v>383</v>
      </c>
      <c r="E170" t="s">
        <v>384</v>
      </c>
      <c r="F170">
        <v>30</v>
      </c>
      <c r="G170">
        <v>704.07</v>
      </c>
      <c r="H170">
        <v>21122.1</v>
      </c>
      <c r="I170" t="s">
        <v>348</v>
      </c>
    </row>
    <row r="171" spans="1:9" x14ac:dyDescent="0.3">
      <c r="A171" t="s">
        <v>550</v>
      </c>
      <c r="B171" s="1">
        <v>46247</v>
      </c>
      <c r="C171" t="s">
        <v>345</v>
      </c>
      <c r="D171" t="s">
        <v>346</v>
      </c>
      <c r="E171" t="s">
        <v>347</v>
      </c>
      <c r="F171">
        <v>25</v>
      </c>
      <c r="G171">
        <v>387.34</v>
      </c>
      <c r="H171">
        <v>9683.5</v>
      </c>
      <c r="I171" t="s">
        <v>353</v>
      </c>
    </row>
    <row r="172" spans="1:9" x14ac:dyDescent="0.3">
      <c r="A172" t="s">
        <v>551</v>
      </c>
      <c r="B172" s="1">
        <v>46098</v>
      </c>
      <c r="C172" t="s">
        <v>415</v>
      </c>
      <c r="D172" t="s">
        <v>416</v>
      </c>
      <c r="E172" t="s">
        <v>347</v>
      </c>
      <c r="F172">
        <v>21</v>
      </c>
      <c r="G172">
        <v>728.76</v>
      </c>
      <c r="H172">
        <v>15303.96</v>
      </c>
      <c r="I172" t="s">
        <v>348</v>
      </c>
    </row>
    <row r="173" spans="1:9" x14ac:dyDescent="0.3">
      <c r="A173" t="s">
        <v>552</v>
      </c>
      <c r="B173" s="1">
        <v>46077</v>
      </c>
      <c r="C173" t="s">
        <v>400</v>
      </c>
      <c r="D173" t="s">
        <v>401</v>
      </c>
      <c r="E173" t="s">
        <v>384</v>
      </c>
      <c r="F173">
        <v>7</v>
      </c>
      <c r="G173">
        <v>556.54</v>
      </c>
      <c r="H173">
        <v>3895.78</v>
      </c>
      <c r="I173" t="s">
        <v>353</v>
      </c>
    </row>
    <row r="174" spans="1:9" x14ac:dyDescent="0.3">
      <c r="A174" t="s">
        <v>553</v>
      </c>
      <c r="B174" s="1">
        <v>46139</v>
      </c>
      <c r="C174" t="s">
        <v>415</v>
      </c>
      <c r="D174" t="s">
        <v>416</v>
      </c>
      <c r="E174" t="s">
        <v>347</v>
      </c>
      <c r="F174">
        <v>12</v>
      </c>
      <c r="G174">
        <v>777.64</v>
      </c>
      <c r="H174">
        <v>9331.68</v>
      </c>
      <c r="I174" t="s">
        <v>363</v>
      </c>
    </row>
    <row r="175" spans="1:9" x14ac:dyDescent="0.3">
      <c r="A175" t="s">
        <v>554</v>
      </c>
      <c r="B175" s="1">
        <v>46071</v>
      </c>
      <c r="C175" t="s">
        <v>400</v>
      </c>
      <c r="D175" t="s">
        <v>401</v>
      </c>
      <c r="E175" t="s">
        <v>384</v>
      </c>
      <c r="F175">
        <v>26</v>
      </c>
      <c r="G175">
        <v>553.66999999999996</v>
      </c>
      <c r="H175">
        <v>14395.42</v>
      </c>
      <c r="I175" t="s">
        <v>348</v>
      </c>
    </row>
    <row r="176" spans="1:9" x14ac:dyDescent="0.3">
      <c r="A176" t="s">
        <v>555</v>
      </c>
      <c r="B176" s="1">
        <v>46208</v>
      </c>
      <c r="C176" t="s">
        <v>369</v>
      </c>
      <c r="D176" t="s">
        <v>370</v>
      </c>
      <c r="E176" t="s">
        <v>371</v>
      </c>
      <c r="F176">
        <v>26</v>
      </c>
      <c r="G176">
        <v>906.83</v>
      </c>
      <c r="H176">
        <v>23577.58</v>
      </c>
      <c r="I176" t="s">
        <v>358</v>
      </c>
    </row>
    <row r="177" spans="1:9" x14ac:dyDescent="0.3">
      <c r="A177" t="s">
        <v>556</v>
      </c>
      <c r="B177" s="1">
        <v>46102</v>
      </c>
      <c r="C177" t="s">
        <v>360</v>
      </c>
      <c r="D177" t="s">
        <v>361</v>
      </c>
      <c r="E177" t="s">
        <v>362</v>
      </c>
      <c r="F177">
        <v>10</v>
      </c>
      <c r="G177">
        <v>681.71</v>
      </c>
      <c r="H177">
        <v>6817.1</v>
      </c>
      <c r="I177" t="s">
        <v>348</v>
      </c>
    </row>
    <row r="178" spans="1:9" x14ac:dyDescent="0.3">
      <c r="A178" t="s">
        <v>557</v>
      </c>
      <c r="B178" s="1">
        <v>46100</v>
      </c>
      <c r="C178" t="s">
        <v>396</v>
      </c>
      <c r="D178" t="s">
        <v>397</v>
      </c>
      <c r="E178" t="s">
        <v>376</v>
      </c>
      <c r="F178">
        <v>15</v>
      </c>
      <c r="G178">
        <v>327.13</v>
      </c>
      <c r="H178">
        <v>4906.95</v>
      </c>
      <c r="I178" t="s">
        <v>348</v>
      </c>
    </row>
    <row r="179" spans="1:9" x14ac:dyDescent="0.3">
      <c r="A179" t="s">
        <v>558</v>
      </c>
      <c r="B179" s="1">
        <v>46085</v>
      </c>
      <c r="C179" t="s">
        <v>369</v>
      </c>
      <c r="D179" t="s">
        <v>370</v>
      </c>
      <c r="E179" t="s">
        <v>371</v>
      </c>
      <c r="F179">
        <v>29</v>
      </c>
      <c r="G179">
        <v>884.46</v>
      </c>
      <c r="H179">
        <v>25649.34</v>
      </c>
      <c r="I179" t="s">
        <v>1238</v>
      </c>
    </row>
    <row r="180" spans="1:9" x14ac:dyDescent="0.3">
      <c r="A180" t="s">
        <v>559</v>
      </c>
      <c r="B180" s="1">
        <v>46225</v>
      </c>
      <c r="C180" t="s">
        <v>355</v>
      </c>
      <c r="D180" t="s">
        <v>356</v>
      </c>
      <c r="E180" t="s">
        <v>343</v>
      </c>
      <c r="F180">
        <v>8</v>
      </c>
      <c r="G180">
        <v>303.89</v>
      </c>
      <c r="H180">
        <v>2431.12</v>
      </c>
      <c r="I180" t="s">
        <v>353</v>
      </c>
    </row>
    <row r="181" spans="1:9" x14ac:dyDescent="0.3">
      <c r="A181" t="s">
        <v>560</v>
      </c>
      <c r="B181" s="1">
        <v>46162</v>
      </c>
      <c r="C181" t="s">
        <v>396</v>
      </c>
      <c r="D181" t="s">
        <v>397</v>
      </c>
      <c r="E181" t="s">
        <v>376</v>
      </c>
      <c r="F181">
        <v>16</v>
      </c>
      <c r="G181">
        <v>343.62</v>
      </c>
      <c r="H181">
        <v>5497.92</v>
      </c>
      <c r="I181" t="s">
        <v>353</v>
      </c>
    </row>
    <row r="182" spans="1:9" x14ac:dyDescent="0.3">
      <c r="A182" t="s">
        <v>1258</v>
      </c>
      <c r="B182" s="1"/>
      <c r="F182">
        <f>SUM(F2:F181)</f>
        <v>3309</v>
      </c>
      <c r="H182">
        <f>SUM(H2:H181)</f>
        <v>1955656.5800000008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47DB5-B238-4018-8662-7B2FD75142D2}">
  <dimension ref="A1:E62"/>
  <sheetViews>
    <sheetView topLeftCell="A31" workbookViewId="0">
      <selection activeCell="D62" sqref="D62"/>
    </sheetView>
  </sheetViews>
  <sheetFormatPr defaultRowHeight="14.4" x14ac:dyDescent="0.3"/>
  <cols>
    <col min="1" max="1" width="12.33203125" bestFit="1" customWidth="1"/>
    <col min="2" max="2" width="10.33203125" bestFit="1" customWidth="1"/>
    <col min="3" max="3" width="18.21875" bestFit="1" customWidth="1"/>
    <col min="4" max="4" width="10.109375" bestFit="1" customWidth="1"/>
    <col min="5" max="5" width="9.88671875" bestFit="1" customWidth="1"/>
  </cols>
  <sheetData>
    <row r="1" spans="1:5" x14ac:dyDescent="0.3">
      <c r="A1" t="s">
        <v>259</v>
      </c>
      <c r="B1" t="s">
        <v>260</v>
      </c>
      <c r="C1" t="s">
        <v>261</v>
      </c>
      <c r="D1" t="s">
        <v>262</v>
      </c>
      <c r="E1" t="s">
        <v>263</v>
      </c>
    </row>
    <row r="2" spans="1:5" x14ac:dyDescent="0.3">
      <c r="A2" t="s">
        <v>264</v>
      </c>
      <c r="B2" s="1">
        <v>46120</v>
      </c>
      <c r="C2" t="s">
        <v>265</v>
      </c>
      <c r="D2">
        <v>3251</v>
      </c>
      <c r="E2" t="s">
        <v>266</v>
      </c>
    </row>
    <row r="3" spans="1:5" x14ac:dyDescent="0.3">
      <c r="A3" t="s">
        <v>267</v>
      </c>
      <c r="B3" s="1">
        <v>46223</v>
      </c>
      <c r="C3" t="s">
        <v>268</v>
      </c>
      <c r="D3">
        <v>30000</v>
      </c>
      <c r="E3" t="s">
        <v>269</v>
      </c>
    </row>
    <row r="4" spans="1:5" x14ac:dyDescent="0.3">
      <c r="A4" t="s">
        <v>270</v>
      </c>
      <c r="B4" s="1">
        <v>46153</v>
      </c>
      <c r="C4" t="s">
        <v>271</v>
      </c>
      <c r="D4">
        <v>9701</v>
      </c>
      <c r="E4" t="s">
        <v>269</v>
      </c>
    </row>
    <row r="5" spans="1:5" x14ac:dyDescent="0.3">
      <c r="A5" t="s">
        <v>272</v>
      </c>
      <c r="B5" s="1">
        <v>46105</v>
      </c>
      <c r="C5" t="s">
        <v>265</v>
      </c>
      <c r="D5">
        <v>1577</v>
      </c>
      <c r="E5" t="s">
        <v>266</v>
      </c>
    </row>
    <row r="6" spans="1:5" x14ac:dyDescent="0.3">
      <c r="A6" t="s">
        <v>273</v>
      </c>
      <c r="B6" s="1">
        <v>46214</v>
      </c>
      <c r="C6" t="s">
        <v>265</v>
      </c>
      <c r="D6">
        <v>2657</v>
      </c>
      <c r="E6" t="s">
        <v>266</v>
      </c>
    </row>
    <row r="7" spans="1:5" x14ac:dyDescent="0.3">
      <c r="A7" t="s">
        <v>274</v>
      </c>
      <c r="B7" s="1">
        <v>46244</v>
      </c>
      <c r="C7" t="s">
        <v>275</v>
      </c>
      <c r="D7">
        <v>45000</v>
      </c>
      <c r="E7" t="s">
        <v>269</v>
      </c>
    </row>
    <row r="8" spans="1:5" x14ac:dyDescent="0.3">
      <c r="A8" t="s">
        <v>276</v>
      </c>
      <c r="B8" s="1">
        <v>46106</v>
      </c>
      <c r="C8" t="s">
        <v>277</v>
      </c>
      <c r="D8">
        <v>6575</v>
      </c>
      <c r="E8" t="s">
        <v>269</v>
      </c>
    </row>
    <row r="9" spans="1:5" x14ac:dyDescent="0.3">
      <c r="A9" t="s">
        <v>278</v>
      </c>
      <c r="B9" s="1">
        <v>46091</v>
      </c>
      <c r="C9" t="s">
        <v>271</v>
      </c>
      <c r="D9">
        <v>3442</v>
      </c>
      <c r="E9" t="s">
        <v>269</v>
      </c>
    </row>
    <row r="10" spans="1:5" x14ac:dyDescent="0.3">
      <c r="A10" t="s">
        <v>279</v>
      </c>
      <c r="B10" s="1">
        <v>46031</v>
      </c>
      <c r="C10" t="s">
        <v>277</v>
      </c>
      <c r="D10">
        <v>2534</v>
      </c>
      <c r="E10" t="s">
        <v>269</v>
      </c>
    </row>
    <row r="11" spans="1:5" x14ac:dyDescent="0.3">
      <c r="A11" t="s">
        <v>280</v>
      </c>
      <c r="B11" s="1">
        <v>46143</v>
      </c>
      <c r="C11" t="s">
        <v>277</v>
      </c>
      <c r="D11">
        <v>6500</v>
      </c>
      <c r="E11" t="s">
        <v>269</v>
      </c>
    </row>
    <row r="12" spans="1:5" x14ac:dyDescent="0.3">
      <c r="A12" t="s">
        <v>281</v>
      </c>
      <c r="B12" s="1">
        <v>46141</v>
      </c>
      <c r="C12" t="s">
        <v>275</v>
      </c>
      <c r="D12">
        <v>45000</v>
      </c>
      <c r="E12" t="s">
        <v>266</v>
      </c>
    </row>
    <row r="13" spans="1:5" x14ac:dyDescent="0.3">
      <c r="A13" t="s">
        <v>282</v>
      </c>
      <c r="B13" s="1">
        <v>46141</v>
      </c>
      <c r="C13" t="s">
        <v>275</v>
      </c>
      <c r="D13">
        <v>45000</v>
      </c>
      <c r="E13" t="s">
        <v>266</v>
      </c>
    </row>
    <row r="14" spans="1:5" x14ac:dyDescent="0.3">
      <c r="A14" t="s">
        <v>283</v>
      </c>
      <c r="B14" s="1">
        <v>46217</v>
      </c>
      <c r="C14" t="s">
        <v>268</v>
      </c>
      <c r="D14">
        <v>30000</v>
      </c>
      <c r="E14" t="s">
        <v>266</v>
      </c>
    </row>
    <row r="15" spans="1:5" x14ac:dyDescent="0.3">
      <c r="A15" t="s">
        <v>284</v>
      </c>
      <c r="B15" s="1">
        <v>46163</v>
      </c>
      <c r="C15" t="s">
        <v>277</v>
      </c>
      <c r="D15">
        <v>2870</v>
      </c>
      <c r="E15" t="s">
        <v>266</v>
      </c>
    </row>
    <row r="16" spans="1:5" x14ac:dyDescent="0.3">
      <c r="A16" t="s">
        <v>285</v>
      </c>
      <c r="B16" s="1">
        <v>46104</v>
      </c>
      <c r="C16" t="s">
        <v>268</v>
      </c>
      <c r="D16">
        <v>30000</v>
      </c>
      <c r="E16" t="s">
        <v>269</v>
      </c>
    </row>
    <row r="17" spans="1:5" x14ac:dyDescent="0.3">
      <c r="A17" t="s">
        <v>286</v>
      </c>
      <c r="B17" s="1">
        <v>46120</v>
      </c>
      <c r="C17" t="s">
        <v>277</v>
      </c>
      <c r="D17">
        <v>5083</v>
      </c>
      <c r="E17" t="s">
        <v>266</v>
      </c>
    </row>
    <row r="18" spans="1:5" x14ac:dyDescent="0.3">
      <c r="A18" t="s">
        <v>287</v>
      </c>
      <c r="B18" s="1">
        <v>46095</v>
      </c>
      <c r="C18" t="s">
        <v>271</v>
      </c>
      <c r="D18">
        <v>9795</v>
      </c>
      <c r="E18" t="s">
        <v>266</v>
      </c>
    </row>
    <row r="19" spans="1:5" x14ac:dyDescent="0.3">
      <c r="A19" t="s">
        <v>288</v>
      </c>
      <c r="B19" s="1">
        <v>46032</v>
      </c>
      <c r="C19" t="s">
        <v>268</v>
      </c>
      <c r="D19">
        <v>30000</v>
      </c>
      <c r="E19" t="s">
        <v>269</v>
      </c>
    </row>
    <row r="20" spans="1:5" x14ac:dyDescent="0.3">
      <c r="A20" t="s">
        <v>289</v>
      </c>
      <c r="B20" s="1">
        <v>46036</v>
      </c>
      <c r="C20" t="s">
        <v>265</v>
      </c>
      <c r="D20">
        <v>1959</v>
      </c>
      <c r="E20" t="s">
        <v>266</v>
      </c>
    </row>
    <row r="21" spans="1:5" x14ac:dyDescent="0.3">
      <c r="A21" t="s">
        <v>290</v>
      </c>
      <c r="B21" s="1">
        <v>46244</v>
      </c>
      <c r="C21" t="s">
        <v>275</v>
      </c>
      <c r="D21">
        <v>45000</v>
      </c>
      <c r="E21" t="s">
        <v>269</v>
      </c>
    </row>
    <row r="22" spans="1:5" x14ac:dyDescent="0.3">
      <c r="A22" t="s">
        <v>291</v>
      </c>
      <c r="B22" s="1">
        <v>46176</v>
      </c>
      <c r="C22" t="s">
        <v>265</v>
      </c>
      <c r="D22">
        <v>4452</v>
      </c>
      <c r="E22" t="s">
        <v>266</v>
      </c>
    </row>
    <row r="23" spans="1:5" x14ac:dyDescent="0.3">
      <c r="A23" t="s">
        <v>292</v>
      </c>
      <c r="B23" s="1">
        <v>46141</v>
      </c>
      <c r="C23" t="s">
        <v>275</v>
      </c>
      <c r="D23">
        <v>45000</v>
      </c>
      <c r="E23" t="s">
        <v>266</v>
      </c>
    </row>
    <row r="24" spans="1:5" x14ac:dyDescent="0.3">
      <c r="A24" t="s">
        <v>293</v>
      </c>
      <c r="B24" s="1">
        <v>46073</v>
      </c>
      <c r="C24" t="s">
        <v>268</v>
      </c>
      <c r="D24">
        <v>30000</v>
      </c>
      <c r="E24" t="s">
        <v>266</v>
      </c>
    </row>
    <row r="25" spans="1:5" x14ac:dyDescent="0.3">
      <c r="A25" t="s">
        <v>294</v>
      </c>
      <c r="B25" s="1">
        <v>46061</v>
      </c>
      <c r="C25" t="s">
        <v>271</v>
      </c>
      <c r="D25">
        <v>8501</v>
      </c>
      <c r="E25" t="s">
        <v>266</v>
      </c>
    </row>
    <row r="26" spans="1:5" x14ac:dyDescent="0.3">
      <c r="A26" t="s">
        <v>295</v>
      </c>
      <c r="B26" s="1">
        <v>46118</v>
      </c>
      <c r="C26" t="s">
        <v>296</v>
      </c>
      <c r="D26">
        <v>10137</v>
      </c>
      <c r="E26" t="s">
        <v>266</v>
      </c>
    </row>
    <row r="27" spans="1:5" x14ac:dyDescent="0.3">
      <c r="A27" t="s">
        <v>297</v>
      </c>
      <c r="B27" s="1">
        <v>46054</v>
      </c>
      <c r="C27" t="s">
        <v>268</v>
      </c>
      <c r="D27">
        <v>30000</v>
      </c>
      <c r="E27" t="s">
        <v>266</v>
      </c>
    </row>
    <row r="28" spans="1:5" x14ac:dyDescent="0.3">
      <c r="A28" t="s">
        <v>298</v>
      </c>
      <c r="B28" s="1">
        <v>46079</v>
      </c>
      <c r="C28" t="s">
        <v>268</v>
      </c>
      <c r="D28">
        <v>30000</v>
      </c>
      <c r="E28" t="s">
        <v>266</v>
      </c>
    </row>
    <row r="29" spans="1:5" x14ac:dyDescent="0.3">
      <c r="A29" t="s">
        <v>299</v>
      </c>
      <c r="B29" s="1">
        <v>46221</v>
      </c>
      <c r="C29" t="s">
        <v>275</v>
      </c>
      <c r="D29">
        <v>45000</v>
      </c>
      <c r="E29" t="s">
        <v>266</v>
      </c>
    </row>
    <row r="30" spans="1:5" x14ac:dyDescent="0.3">
      <c r="A30" t="s">
        <v>300</v>
      </c>
      <c r="B30" s="1">
        <v>46248</v>
      </c>
      <c r="C30" t="s">
        <v>296</v>
      </c>
      <c r="D30">
        <v>10332</v>
      </c>
      <c r="E30" t="s">
        <v>266</v>
      </c>
    </row>
    <row r="31" spans="1:5" x14ac:dyDescent="0.3">
      <c r="A31" t="s">
        <v>301</v>
      </c>
      <c r="B31" s="1">
        <v>46168</v>
      </c>
      <c r="C31" t="s">
        <v>277</v>
      </c>
      <c r="D31">
        <v>6977</v>
      </c>
      <c r="E31" t="s">
        <v>266</v>
      </c>
    </row>
    <row r="32" spans="1:5" x14ac:dyDescent="0.3">
      <c r="A32" t="s">
        <v>302</v>
      </c>
      <c r="B32" s="1">
        <v>46160</v>
      </c>
      <c r="C32" t="s">
        <v>275</v>
      </c>
      <c r="D32">
        <v>45000</v>
      </c>
      <c r="E32" t="s">
        <v>269</v>
      </c>
    </row>
    <row r="33" spans="1:5" x14ac:dyDescent="0.3">
      <c r="A33" t="s">
        <v>303</v>
      </c>
      <c r="B33" s="1">
        <v>46240</v>
      </c>
      <c r="C33" t="s">
        <v>265</v>
      </c>
      <c r="D33">
        <v>1693</v>
      </c>
      <c r="E33" t="s">
        <v>266</v>
      </c>
    </row>
    <row r="34" spans="1:5" x14ac:dyDescent="0.3">
      <c r="A34" t="s">
        <v>304</v>
      </c>
      <c r="B34" s="1">
        <v>46169</v>
      </c>
      <c r="C34" t="s">
        <v>296</v>
      </c>
      <c r="D34">
        <v>5942</v>
      </c>
      <c r="E34" t="s">
        <v>266</v>
      </c>
    </row>
    <row r="35" spans="1:5" x14ac:dyDescent="0.3">
      <c r="A35" t="s">
        <v>305</v>
      </c>
      <c r="B35" s="1">
        <v>46076</v>
      </c>
      <c r="C35" t="s">
        <v>271</v>
      </c>
      <c r="D35">
        <v>8370</v>
      </c>
      <c r="E35" t="s">
        <v>266</v>
      </c>
    </row>
    <row r="36" spans="1:5" x14ac:dyDescent="0.3">
      <c r="A36" t="s">
        <v>306</v>
      </c>
      <c r="B36" s="1">
        <v>46158</v>
      </c>
      <c r="C36" t="s">
        <v>296</v>
      </c>
      <c r="D36">
        <v>7187</v>
      </c>
      <c r="E36" t="s">
        <v>266</v>
      </c>
    </row>
    <row r="37" spans="1:5" x14ac:dyDescent="0.3">
      <c r="A37" t="s">
        <v>307</v>
      </c>
      <c r="B37" s="1">
        <v>46204</v>
      </c>
      <c r="C37" t="s">
        <v>296</v>
      </c>
      <c r="D37">
        <v>11255</v>
      </c>
      <c r="E37" t="s">
        <v>269</v>
      </c>
    </row>
    <row r="38" spans="1:5" x14ac:dyDescent="0.3">
      <c r="A38" t="s">
        <v>308</v>
      </c>
      <c r="B38" s="1">
        <v>46098</v>
      </c>
      <c r="C38" t="s">
        <v>277</v>
      </c>
      <c r="D38">
        <v>4663</v>
      </c>
      <c r="E38" t="s">
        <v>266</v>
      </c>
    </row>
    <row r="39" spans="1:5" x14ac:dyDescent="0.3">
      <c r="A39" t="s">
        <v>309</v>
      </c>
      <c r="B39" s="1">
        <v>46251</v>
      </c>
      <c r="C39" t="s">
        <v>277</v>
      </c>
      <c r="D39">
        <v>6763</v>
      </c>
      <c r="E39" t="s">
        <v>266</v>
      </c>
    </row>
    <row r="40" spans="1:5" x14ac:dyDescent="0.3">
      <c r="A40" t="s">
        <v>310</v>
      </c>
      <c r="B40" s="1">
        <v>46226</v>
      </c>
      <c r="C40" t="s">
        <v>265</v>
      </c>
      <c r="D40">
        <v>4533</v>
      </c>
      <c r="E40" t="s">
        <v>266</v>
      </c>
    </row>
    <row r="41" spans="1:5" x14ac:dyDescent="0.3">
      <c r="A41" t="s">
        <v>311</v>
      </c>
      <c r="B41" s="1">
        <v>46251</v>
      </c>
      <c r="C41" t="s">
        <v>275</v>
      </c>
      <c r="D41">
        <v>45000</v>
      </c>
      <c r="E41" t="s">
        <v>269</v>
      </c>
    </row>
    <row r="42" spans="1:5" x14ac:dyDescent="0.3">
      <c r="A42" t="s">
        <v>312</v>
      </c>
      <c r="B42" s="1">
        <v>46132</v>
      </c>
      <c r="C42" t="s">
        <v>271</v>
      </c>
      <c r="D42">
        <v>8812</v>
      </c>
      <c r="E42" t="s">
        <v>266</v>
      </c>
    </row>
    <row r="43" spans="1:5" x14ac:dyDescent="0.3">
      <c r="A43" t="s">
        <v>313</v>
      </c>
      <c r="B43" s="1">
        <v>46182</v>
      </c>
      <c r="C43" t="s">
        <v>268</v>
      </c>
      <c r="D43">
        <v>30000</v>
      </c>
      <c r="E43" t="s">
        <v>269</v>
      </c>
    </row>
    <row r="44" spans="1:5" x14ac:dyDescent="0.3">
      <c r="A44" t="s">
        <v>314</v>
      </c>
      <c r="B44" s="1">
        <v>46033</v>
      </c>
      <c r="C44" t="s">
        <v>265</v>
      </c>
      <c r="D44">
        <v>4124</v>
      </c>
      <c r="E44" t="s">
        <v>266</v>
      </c>
    </row>
    <row r="45" spans="1:5" x14ac:dyDescent="0.3">
      <c r="A45" t="s">
        <v>315</v>
      </c>
      <c r="B45" s="1">
        <v>46262</v>
      </c>
      <c r="C45" t="s">
        <v>268</v>
      </c>
      <c r="D45">
        <v>30000</v>
      </c>
      <c r="E45" t="s">
        <v>269</v>
      </c>
    </row>
    <row r="46" spans="1:5" x14ac:dyDescent="0.3">
      <c r="A46" t="s">
        <v>316</v>
      </c>
      <c r="B46" s="1">
        <v>46227</v>
      </c>
      <c r="C46" t="s">
        <v>271</v>
      </c>
      <c r="D46">
        <v>4959</v>
      </c>
      <c r="E46" t="s">
        <v>269</v>
      </c>
    </row>
    <row r="47" spans="1:5" x14ac:dyDescent="0.3">
      <c r="A47" t="s">
        <v>317</v>
      </c>
      <c r="B47" s="1">
        <v>46126</v>
      </c>
      <c r="C47" t="s">
        <v>277</v>
      </c>
      <c r="D47">
        <v>6284</v>
      </c>
      <c r="E47" t="s">
        <v>266</v>
      </c>
    </row>
    <row r="48" spans="1:5" x14ac:dyDescent="0.3">
      <c r="A48" t="s">
        <v>318</v>
      </c>
      <c r="B48" s="1">
        <v>46119</v>
      </c>
      <c r="C48" t="s">
        <v>271</v>
      </c>
      <c r="D48">
        <v>4007</v>
      </c>
      <c r="E48" t="s">
        <v>266</v>
      </c>
    </row>
    <row r="49" spans="1:5" x14ac:dyDescent="0.3">
      <c r="A49" t="s">
        <v>319</v>
      </c>
      <c r="B49" s="1">
        <v>46204</v>
      </c>
      <c r="C49" t="s">
        <v>296</v>
      </c>
      <c r="D49">
        <v>7571</v>
      </c>
      <c r="E49" t="s">
        <v>266</v>
      </c>
    </row>
    <row r="50" spans="1:5" x14ac:dyDescent="0.3">
      <c r="A50" t="s">
        <v>320</v>
      </c>
      <c r="B50" s="1">
        <v>46125</v>
      </c>
      <c r="C50" t="s">
        <v>277</v>
      </c>
      <c r="D50">
        <v>4529</v>
      </c>
      <c r="E50" t="s">
        <v>266</v>
      </c>
    </row>
    <row r="51" spans="1:5" x14ac:dyDescent="0.3">
      <c r="A51" t="s">
        <v>321</v>
      </c>
      <c r="B51" s="1">
        <v>46188</v>
      </c>
      <c r="C51" t="s">
        <v>271</v>
      </c>
      <c r="D51">
        <v>4065</v>
      </c>
      <c r="E51" t="s">
        <v>266</v>
      </c>
    </row>
    <row r="52" spans="1:5" x14ac:dyDescent="0.3">
      <c r="A52" t="s">
        <v>322</v>
      </c>
      <c r="B52" s="1">
        <v>46123</v>
      </c>
      <c r="C52" t="s">
        <v>271</v>
      </c>
      <c r="D52">
        <v>4223</v>
      </c>
      <c r="E52" t="s">
        <v>266</v>
      </c>
    </row>
    <row r="53" spans="1:5" x14ac:dyDescent="0.3">
      <c r="A53" t="s">
        <v>323</v>
      </c>
      <c r="B53" s="1">
        <v>46027</v>
      </c>
      <c r="C53" t="s">
        <v>277</v>
      </c>
      <c r="D53">
        <v>2654</v>
      </c>
      <c r="E53" t="s">
        <v>269</v>
      </c>
    </row>
    <row r="54" spans="1:5" x14ac:dyDescent="0.3">
      <c r="A54" t="s">
        <v>324</v>
      </c>
      <c r="B54" s="1">
        <v>46026</v>
      </c>
      <c r="C54" t="s">
        <v>277</v>
      </c>
      <c r="D54">
        <v>6402</v>
      </c>
      <c r="E54" t="s">
        <v>269</v>
      </c>
    </row>
    <row r="55" spans="1:5" x14ac:dyDescent="0.3">
      <c r="A55" t="s">
        <v>325</v>
      </c>
      <c r="B55" s="1">
        <v>46226</v>
      </c>
      <c r="C55" t="s">
        <v>268</v>
      </c>
      <c r="D55">
        <v>30000</v>
      </c>
      <c r="E55" t="s">
        <v>266</v>
      </c>
    </row>
    <row r="56" spans="1:5" x14ac:dyDescent="0.3">
      <c r="A56" t="s">
        <v>326</v>
      </c>
      <c r="B56" s="1">
        <v>46168</v>
      </c>
      <c r="C56" t="s">
        <v>265</v>
      </c>
      <c r="D56">
        <v>2072</v>
      </c>
      <c r="E56" t="s">
        <v>269</v>
      </c>
    </row>
    <row r="57" spans="1:5" x14ac:dyDescent="0.3">
      <c r="A57" t="s">
        <v>327</v>
      </c>
      <c r="B57" s="1">
        <v>46248</v>
      </c>
      <c r="C57" t="s">
        <v>277</v>
      </c>
      <c r="D57">
        <v>5134</v>
      </c>
      <c r="E57" t="s">
        <v>269</v>
      </c>
    </row>
    <row r="58" spans="1:5" x14ac:dyDescent="0.3">
      <c r="A58" t="s">
        <v>328</v>
      </c>
      <c r="B58" s="1">
        <v>46050</v>
      </c>
      <c r="C58" t="s">
        <v>275</v>
      </c>
      <c r="D58">
        <v>45000</v>
      </c>
      <c r="E58" t="s">
        <v>266</v>
      </c>
    </row>
    <row r="59" spans="1:5" x14ac:dyDescent="0.3">
      <c r="A59" t="s">
        <v>329</v>
      </c>
      <c r="B59" s="1">
        <v>46240</v>
      </c>
      <c r="C59" t="s">
        <v>265</v>
      </c>
      <c r="D59">
        <v>4293</v>
      </c>
      <c r="E59" t="s">
        <v>269</v>
      </c>
    </row>
    <row r="60" spans="1:5" x14ac:dyDescent="0.3">
      <c r="A60" t="s">
        <v>330</v>
      </c>
      <c r="B60" s="1">
        <v>46212</v>
      </c>
      <c r="C60" t="s">
        <v>277</v>
      </c>
      <c r="D60">
        <v>5757</v>
      </c>
      <c r="E60" t="s">
        <v>266</v>
      </c>
    </row>
    <row r="61" spans="1:5" x14ac:dyDescent="0.3">
      <c r="A61" t="s">
        <v>331</v>
      </c>
      <c r="B61" s="1">
        <v>46090</v>
      </c>
      <c r="C61" t="s">
        <v>275</v>
      </c>
      <c r="D61">
        <v>45000</v>
      </c>
      <c r="E61" t="s">
        <v>269</v>
      </c>
    </row>
    <row r="62" spans="1:5" x14ac:dyDescent="0.3">
      <c r="B62" s="1"/>
      <c r="D62">
        <f>SUM(D2:D61)</f>
        <v>971635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A127B-84F5-45A0-9263-21D15032400A}">
  <dimension ref="A1:C121"/>
  <sheetViews>
    <sheetView topLeftCell="A34" workbookViewId="0">
      <selection sqref="A1:C1048576"/>
    </sheetView>
  </sheetViews>
  <sheetFormatPr defaultRowHeight="14.4" x14ac:dyDescent="0.3"/>
  <cols>
    <col min="1" max="1" width="13.21875" customWidth="1"/>
    <col min="2" max="2" width="16.44140625" customWidth="1"/>
  </cols>
  <sheetData>
    <row r="1" spans="1:3" x14ac:dyDescent="0.3">
      <c r="A1" s="15" t="s">
        <v>3</v>
      </c>
      <c r="B1" s="16" t="s">
        <v>4</v>
      </c>
      <c r="C1" s="17" t="s">
        <v>5</v>
      </c>
    </row>
    <row r="2" spans="1:3" x14ac:dyDescent="0.3">
      <c r="A2" s="5" t="s">
        <v>6</v>
      </c>
      <c r="B2" s="8" t="s">
        <v>7</v>
      </c>
      <c r="C2" s="6" t="s">
        <v>8</v>
      </c>
    </row>
    <row r="3" spans="1:3" x14ac:dyDescent="0.3">
      <c r="A3" s="3" t="s">
        <v>9</v>
      </c>
      <c r="B3" s="7" t="s">
        <v>10</v>
      </c>
      <c r="C3" s="4" t="s">
        <v>8</v>
      </c>
    </row>
    <row r="4" spans="1:3" x14ac:dyDescent="0.3">
      <c r="A4" s="5" t="s">
        <v>11</v>
      </c>
      <c r="B4" s="8" t="s">
        <v>12</v>
      </c>
      <c r="C4" s="6" t="s">
        <v>13</v>
      </c>
    </row>
    <row r="5" spans="1:3" x14ac:dyDescent="0.3">
      <c r="A5" s="3" t="s">
        <v>14</v>
      </c>
      <c r="B5" s="7" t="s">
        <v>15</v>
      </c>
      <c r="C5" s="4" t="s">
        <v>13</v>
      </c>
    </row>
    <row r="6" spans="1:3" x14ac:dyDescent="0.3">
      <c r="A6" s="5" t="s">
        <v>16</v>
      </c>
      <c r="B6" s="8" t="s">
        <v>17</v>
      </c>
      <c r="C6" s="6" t="s">
        <v>18</v>
      </c>
    </row>
    <row r="7" spans="1:3" x14ac:dyDescent="0.3">
      <c r="A7" s="3" t="s">
        <v>19</v>
      </c>
      <c r="B7" s="7" t="s">
        <v>20</v>
      </c>
      <c r="C7" s="4" t="s">
        <v>8</v>
      </c>
    </row>
    <row r="8" spans="1:3" x14ac:dyDescent="0.3">
      <c r="A8" s="5" t="s">
        <v>21</v>
      </c>
      <c r="B8" s="8" t="s">
        <v>22</v>
      </c>
      <c r="C8" s="6" t="s">
        <v>13</v>
      </c>
    </row>
    <row r="9" spans="1:3" x14ac:dyDescent="0.3">
      <c r="A9" s="3" t="s">
        <v>23</v>
      </c>
      <c r="B9" s="7" t="s">
        <v>24</v>
      </c>
      <c r="C9" s="4" t="s">
        <v>18</v>
      </c>
    </row>
    <row r="10" spans="1:3" x14ac:dyDescent="0.3">
      <c r="A10" s="5" t="s">
        <v>25</v>
      </c>
      <c r="B10" s="8" t="s">
        <v>26</v>
      </c>
      <c r="C10" s="6" t="s">
        <v>8</v>
      </c>
    </row>
    <row r="11" spans="1:3" x14ac:dyDescent="0.3">
      <c r="A11" s="3" t="s">
        <v>27</v>
      </c>
      <c r="B11" s="7" t="s">
        <v>28</v>
      </c>
      <c r="C11" s="4" t="s">
        <v>8</v>
      </c>
    </row>
    <row r="12" spans="1:3" x14ac:dyDescent="0.3">
      <c r="A12" s="5" t="s">
        <v>29</v>
      </c>
      <c r="B12" s="8" t="s">
        <v>30</v>
      </c>
      <c r="C12" s="6" t="s">
        <v>18</v>
      </c>
    </row>
    <row r="13" spans="1:3" x14ac:dyDescent="0.3">
      <c r="A13" s="3" t="s">
        <v>31</v>
      </c>
      <c r="B13" s="7" t="s">
        <v>32</v>
      </c>
      <c r="C13" s="4" t="s">
        <v>18</v>
      </c>
    </row>
    <row r="14" spans="1:3" x14ac:dyDescent="0.3">
      <c r="A14" s="5" t="s">
        <v>33</v>
      </c>
      <c r="B14" s="8" t="s">
        <v>34</v>
      </c>
      <c r="C14" s="6" t="s">
        <v>13</v>
      </c>
    </row>
    <row r="15" spans="1:3" x14ac:dyDescent="0.3">
      <c r="A15" s="3" t="s">
        <v>35</v>
      </c>
      <c r="B15" s="7" t="s">
        <v>36</v>
      </c>
      <c r="C15" s="4" t="s">
        <v>8</v>
      </c>
    </row>
    <row r="16" spans="1:3" x14ac:dyDescent="0.3">
      <c r="A16" s="5" t="s">
        <v>37</v>
      </c>
      <c r="B16" s="8" t="s">
        <v>38</v>
      </c>
      <c r="C16" s="6" t="s">
        <v>8</v>
      </c>
    </row>
    <row r="17" spans="1:3" x14ac:dyDescent="0.3">
      <c r="A17" s="3" t="s">
        <v>39</v>
      </c>
      <c r="B17" s="7" t="s">
        <v>40</v>
      </c>
      <c r="C17" s="4" t="s">
        <v>8</v>
      </c>
    </row>
    <row r="18" spans="1:3" x14ac:dyDescent="0.3">
      <c r="A18" s="5" t="s">
        <v>41</v>
      </c>
      <c r="B18" s="8" t="s">
        <v>42</v>
      </c>
      <c r="C18" s="6" t="s">
        <v>18</v>
      </c>
    </row>
    <row r="19" spans="1:3" x14ac:dyDescent="0.3">
      <c r="A19" s="3" t="s">
        <v>43</v>
      </c>
      <c r="B19" s="7" t="s">
        <v>44</v>
      </c>
      <c r="C19" s="4" t="s">
        <v>13</v>
      </c>
    </row>
    <row r="20" spans="1:3" x14ac:dyDescent="0.3">
      <c r="A20" s="5" t="s">
        <v>45</v>
      </c>
      <c r="B20" s="8" t="s">
        <v>46</v>
      </c>
      <c r="C20" s="6" t="s">
        <v>8</v>
      </c>
    </row>
    <row r="21" spans="1:3" x14ac:dyDescent="0.3">
      <c r="A21" s="3" t="s">
        <v>47</v>
      </c>
      <c r="B21" s="7" t="s">
        <v>48</v>
      </c>
      <c r="C21" s="4" t="s">
        <v>18</v>
      </c>
    </row>
    <row r="22" spans="1:3" x14ac:dyDescent="0.3">
      <c r="A22" s="5" t="s">
        <v>49</v>
      </c>
      <c r="B22" s="8" t="s">
        <v>50</v>
      </c>
      <c r="C22" s="6" t="s">
        <v>8</v>
      </c>
    </row>
    <row r="23" spans="1:3" x14ac:dyDescent="0.3">
      <c r="A23" s="3" t="s">
        <v>51</v>
      </c>
      <c r="B23" s="7" t="s">
        <v>52</v>
      </c>
      <c r="C23" s="4" t="s">
        <v>13</v>
      </c>
    </row>
    <row r="24" spans="1:3" x14ac:dyDescent="0.3">
      <c r="A24" s="5" t="s">
        <v>53</v>
      </c>
      <c r="B24" s="8" t="s">
        <v>54</v>
      </c>
      <c r="C24" s="6" t="s">
        <v>8</v>
      </c>
    </row>
    <row r="25" spans="1:3" x14ac:dyDescent="0.3">
      <c r="A25" s="3" t="s">
        <v>55</v>
      </c>
      <c r="B25" s="7" t="s">
        <v>56</v>
      </c>
      <c r="C25" s="4" t="s">
        <v>13</v>
      </c>
    </row>
    <row r="26" spans="1:3" x14ac:dyDescent="0.3">
      <c r="A26" s="5" t="s">
        <v>57</v>
      </c>
      <c r="B26" s="8" t="s">
        <v>58</v>
      </c>
      <c r="C26" s="6" t="s">
        <v>13</v>
      </c>
    </row>
    <row r="27" spans="1:3" x14ac:dyDescent="0.3">
      <c r="A27" s="3" t="s">
        <v>59</v>
      </c>
      <c r="B27" s="7" t="s">
        <v>60</v>
      </c>
      <c r="C27" s="4" t="s">
        <v>8</v>
      </c>
    </row>
    <row r="28" spans="1:3" x14ac:dyDescent="0.3">
      <c r="A28" s="5" t="s">
        <v>61</v>
      </c>
      <c r="B28" s="8" t="s">
        <v>62</v>
      </c>
      <c r="C28" s="6" t="s">
        <v>8</v>
      </c>
    </row>
    <row r="29" spans="1:3" x14ac:dyDescent="0.3">
      <c r="A29" s="3" t="s">
        <v>63</v>
      </c>
      <c r="B29" s="7" t="s">
        <v>64</v>
      </c>
      <c r="C29" s="4" t="s">
        <v>13</v>
      </c>
    </row>
    <row r="30" spans="1:3" x14ac:dyDescent="0.3">
      <c r="A30" s="5" t="s">
        <v>65</v>
      </c>
      <c r="B30" s="8" t="s">
        <v>66</v>
      </c>
      <c r="C30" s="6" t="s">
        <v>18</v>
      </c>
    </row>
    <row r="31" spans="1:3" x14ac:dyDescent="0.3">
      <c r="A31" s="3" t="s">
        <v>67</v>
      </c>
      <c r="B31" s="7" t="s">
        <v>68</v>
      </c>
      <c r="C31" s="4" t="s">
        <v>13</v>
      </c>
    </row>
    <row r="32" spans="1:3" x14ac:dyDescent="0.3">
      <c r="A32" s="5" t="s">
        <v>69</v>
      </c>
      <c r="B32" s="8" t="s">
        <v>70</v>
      </c>
      <c r="C32" s="6" t="s">
        <v>8</v>
      </c>
    </row>
    <row r="33" spans="1:3" x14ac:dyDescent="0.3">
      <c r="A33" s="3" t="s">
        <v>71</v>
      </c>
      <c r="B33" s="7" t="s">
        <v>72</v>
      </c>
      <c r="C33" s="4" t="s">
        <v>8</v>
      </c>
    </row>
    <row r="34" spans="1:3" x14ac:dyDescent="0.3">
      <c r="A34" s="5" t="s">
        <v>73</v>
      </c>
      <c r="B34" s="8" t="s">
        <v>74</v>
      </c>
      <c r="C34" s="6" t="s">
        <v>18</v>
      </c>
    </row>
    <row r="35" spans="1:3" x14ac:dyDescent="0.3">
      <c r="A35" s="3" t="s">
        <v>75</v>
      </c>
      <c r="B35" s="7" t="s">
        <v>76</v>
      </c>
      <c r="C35" s="4" t="s">
        <v>13</v>
      </c>
    </row>
    <row r="36" spans="1:3" x14ac:dyDescent="0.3">
      <c r="A36" s="5" t="s">
        <v>77</v>
      </c>
      <c r="B36" s="8" t="s">
        <v>78</v>
      </c>
      <c r="C36" s="6" t="s">
        <v>13</v>
      </c>
    </row>
    <row r="37" spans="1:3" x14ac:dyDescent="0.3">
      <c r="A37" s="3" t="s">
        <v>79</v>
      </c>
      <c r="B37" s="7" t="s">
        <v>80</v>
      </c>
      <c r="C37" s="4" t="s">
        <v>13</v>
      </c>
    </row>
    <row r="38" spans="1:3" x14ac:dyDescent="0.3">
      <c r="A38" s="5" t="s">
        <v>81</v>
      </c>
      <c r="B38" s="8" t="s">
        <v>82</v>
      </c>
      <c r="C38" s="6" t="s">
        <v>8</v>
      </c>
    </row>
    <row r="39" spans="1:3" x14ac:dyDescent="0.3">
      <c r="A39" s="3" t="s">
        <v>83</v>
      </c>
      <c r="B39" s="7" t="s">
        <v>84</v>
      </c>
      <c r="C39" s="4" t="s">
        <v>13</v>
      </c>
    </row>
    <row r="40" spans="1:3" x14ac:dyDescent="0.3">
      <c r="A40" s="5" t="s">
        <v>85</v>
      </c>
      <c r="B40" s="8" t="s">
        <v>86</v>
      </c>
      <c r="C40" s="6" t="s">
        <v>18</v>
      </c>
    </row>
    <row r="41" spans="1:3" x14ac:dyDescent="0.3">
      <c r="A41" s="3" t="s">
        <v>87</v>
      </c>
      <c r="B41" s="7" t="s">
        <v>88</v>
      </c>
      <c r="C41" s="4" t="s">
        <v>8</v>
      </c>
    </row>
    <row r="42" spans="1:3" x14ac:dyDescent="0.3">
      <c r="A42" s="5" t="s">
        <v>89</v>
      </c>
      <c r="B42" s="8" t="s">
        <v>90</v>
      </c>
      <c r="C42" s="6" t="s">
        <v>8</v>
      </c>
    </row>
    <row r="43" spans="1:3" x14ac:dyDescent="0.3">
      <c r="A43" s="3" t="s">
        <v>91</v>
      </c>
      <c r="B43" s="7" t="s">
        <v>92</v>
      </c>
      <c r="C43" s="4" t="s">
        <v>13</v>
      </c>
    </row>
    <row r="44" spans="1:3" x14ac:dyDescent="0.3">
      <c r="A44" s="5" t="s">
        <v>93</v>
      </c>
      <c r="B44" s="8" t="s">
        <v>94</v>
      </c>
      <c r="C44" s="6" t="s">
        <v>18</v>
      </c>
    </row>
    <row r="45" spans="1:3" x14ac:dyDescent="0.3">
      <c r="A45" s="3" t="s">
        <v>95</v>
      </c>
      <c r="B45" s="7" t="s">
        <v>96</v>
      </c>
      <c r="C45" s="4" t="s">
        <v>8</v>
      </c>
    </row>
    <row r="46" spans="1:3" x14ac:dyDescent="0.3">
      <c r="A46" s="5" t="s">
        <v>97</v>
      </c>
      <c r="B46" s="8" t="s">
        <v>98</v>
      </c>
      <c r="C46" s="6" t="s">
        <v>8</v>
      </c>
    </row>
    <row r="47" spans="1:3" x14ac:dyDescent="0.3">
      <c r="A47" s="3" t="s">
        <v>99</v>
      </c>
      <c r="B47" s="7" t="s">
        <v>100</v>
      </c>
      <c r="C47" s="4" t="s">
        <v>13</v>
      </c>
    </row>
    <row r="48" spans="1:3" x14ac:dyDescent="0.3">
      <c r="A48" s="5" t="s">
        <v>101</v>
      </c>
      <c r="B48" s="8" t="s">
        <v>102</v>
      </c>
      <c r="C48" s="6" t="s">
        <v>13</v>
      </c>
    </row>
    <row r="49" spans="1:3" x14ac:dyDescent="0.3">
      <c r="A49" s="3" t="s">
        <v>103</v>
      </c>
      <c r="B49" s="7" t="s">
        <v>104</v>
      </c>
      <c r="C49" s="4" t="s">
        <v>18</v>
      </c>
    </row>
    <row r="50" spans="1:3" x14ac:dyDescent="0.3">
      <c r="A50" s="5" t="s">
        <v>105</v>
      </c>
      <c r="B50" s="8" t="s">
        <v>106</v>
      </c>
      <c r="C50" s="6" t="s">
        <v>13</v>
      </c>
    </row>
    <row r="51" spans="1:3" x14ac:dyDescent="0.3">
      <c r="A51" s="3" t="s">
        <v>107</v>
      </c>
      <c r="B51" s="7" t="s">
        <v>108</v>
      </c>
      <c r="C51" s="4" t="s">
        <v>18</v>
      </c>
    </row>
    <row r="52" spans="1:3" x14ac:dyDescent="0.3">
      <c r="A52" s="5" t="s">
        <v>109</v>
      </c>
      <c r="B52" s="8" t="s">
        <v>110</v>
      </c>
      <c r="C52" s="6" t="s">
        <v>8</v>
      </c>
    </row>
    <row r="53" spans="1:3" x14ac:dyDescent="0.3">
      <c r="A53" s="3" t="s">
        <v>111</v>
      </c>
      <c r="B53" s="7" t="s">
        <v>112</v>
      </c>
      <c r="C53" s="4" t="s">
        <v>18</v>
      </c>
    </row>
    <row r="54" spans="1:3" x14ac:dyDescent="0.3">
      <c r="A54" s="5" t="s">
        <v>113</v>
      </c>
      <c r="B54" s="8" t="s">
        <v>114</v>
      </c>
      <c r="C54" s="6" t="s">
        <v>18</v>
      </c>
    </row>
    <row r="55" spans="1:3" x14ac:dyDescent="0.3">
      <c r="A55" s="3" t="s">
        <v>115</v>
      </c>
      <c r="B55" s="7" t="s">
        <v>116</v>
      </c>
      <c r="C55" s="4" t="s">
        <v>18</v>
      </c>
    </row>
    <row r="56" spans="1:3" x14ac:dyDescent="0.3">
      <c r="A56" s="5" t="s">
        <v>117</v>
      </c>
      <c r="B56" s="8" t="s">
        <v>118</v>
      </c>
      <c r="C56" s="6" t="s">
        <v>8</v>
      </c>
    </row>
    <row r="57" spans="1:3" x14ac:dyDescent="0.3">
      <c r="A57" s="3" t="s">
        <v>119</v>
      </c>
      <c r="B57" s="7" t="s">
        <v>120</v>
      </c>
      <c r="C57" s="4" t="s">
        <v>13</v>
      </c>
    </row>
    <row r="58" spans="1:3" x14ac:dyDescent="0.3">
      <c r="A58" s="5" t="s">
        <v>121</v>
      </c>
      <c r="B58" s="8" t="s">
        <v>122</v>
      </c>
      <c r="C58" s="6" t="s">
        <v>8</v>
      </c>
    </row>
    <row r="59" spans="1:3" x14ac:dyDescent="0.3">
      <c r="A59" s="3" t="s">
        <v>123</v>
      </c>
      <c r="B59" s="7" t="s">
        <v>124</v>
      </c>
      <c r="C59" s="4" t="s">
        <v>13</v>
      </c>
    </row>
    <row r="60" spans="1:3" x14ac:dyDescent="0.3">
      <c r="A60" s="5" t="s">
        <v>125</v>
      </c>
      <c r="B60" s="8" t="s">
        <v>126</v>
      </c>
      <c r="C60" s="6" t="s">
        <v>18</v>
      </c>
    </row>
    <row r="61" spans="1:3" x14ac:dyDescent="0.3">
      <c r="A61" s="3" t="s">
        <v>127</v>
      </c>
      <c r="B61" s="7" t="s">
        <v>128</v>
      </c>
      <c r="C61" s="4" t="s">
        <v>18</v>
      </c>
    </row>
    <row r="62" spans="1:3" x14ac:dyDescent="0.3">
      <c r="A62" s="5" t="s">
        <v>129</v>
      </c>
      <c r="B62" s="8" t="s">
        <v>130</v>
      </c>
      <c r="C62" s="6" t="s">
        <v>18</v>
      </c>
    </row>
    <row r="63" spans="1:3" x14ac:dyDescent="0.3">
      <c r="A63" s="3" t="s">
        <v>131</v>
      </c>
      <c r="B63" s="7" t="s">
        <v>132</v>
      </c>
      <c r="C63" s="4" t="s">
        <v>18</v>
      </c>
    </row>
    <row r="64" spans="1:3" x14ac:dyDescent="0.3">
      <c r="A64" s="5" t="s">
        <v>133</v>
      </c>
      <c r="B64" s="8" t="s">
        <v>134</v>
      </c>
      <c r="C64" s="6" t="s">
        <v>18</v>
      </c>
    </row>
    <row r="65" spans="1:3" x14ac:dyDescent="0.3">
      <c r="A65" s="3" t="s">
        <v>135</v>
      </c>
      <c r="B65" s="7" t="s">
        <v>136</v>
      </c>
      <c r="C65" s="4" t="s">
        <v>13</v>
      </c>
    </row>
    <row r="66" spans="1:3" x14ac:dyDescent="0.3">
      <c r="A66" s="5" t="s">
        <v>137</v>
      </c>
      <c r="B66" s="8" t="s">
        <v>138</v>
      </c>
      <c r="C66" s="6" t="s">
        <v>13</v>
      </c>
    </row>
    <row r="67" spans="1:3" x14ac:dyDescent="0.3">
      <c r="A67" s="3" t="s">
        <v>139</v>
      </c>
      <c r="B67" s="7" t="s">
        <v>140</v>
      </c>
      <c r="C67" s="4" t="s">
        <v>18</v>
      </c>
    </row>
    <row r="68" spans="1:3" x14ac:dyDescent="0.3">
      <c r="A68" s="5" t="s">
        <v>141</v>
      </c>
      <c r="B68" s="8" t="s">
        <v>142</v>
      </c>
      <c r="C68" s="6" t="s">
        <v>8</v>
      </c>
    </row>
    <row r="69" spans="1:3" x14ac:dyDescent="0.3">
      <c r="A69" s="3" t="s">
        <v>143</v>
      </c>
      <c r="B69" s="7" t="s">
        <v>144</v>
      </c>
      <c r="C69" s="4" t="s">
        <v>8</v>
      </c>
    </row>
    <row r="70" spans="1:3" x14ac:dyDescent="0.3">
      <c r="A70" s="5" t="s">
        <v>145</v>
      </c>
      <c r="B70" s="8" t="s">
        <v>146</v>
      </c>
      <c r="C70" s="6" t="s">
        <v>18</v>
      </c>
    </row>
    <row r="71" spans="1:3" x14ac:dyDescent="0.3">
      <c r="A71" s="3" t="s">
        <v>147</v>
      </c>
      <c r="B71" s="7" t="s">
        <v>148</v>
      </c>
      <c r="C71" s="4" t="s">
        <v>13</v>
      </c>
    </row>
    <row r="72" spans="1:3" x14ac:dyDescent="0.3">
      <c r="A72" s="5" t="s">
        <v>149</v>
      </c>
      <c r="B72" s="8" t="s">
        <v>150</v>
      </c>
      <c r="C72" s="6" t="s">
        <v>8</v>
      </c>
    </row>
    <row r="73" spans="1:3" x14ac:dyDescent="0.3">
      <c r="A73" s="3" t="s">
        <v>151</v>
      </c>
      <c r="B73" s="7" t="s">
        <v>152</v>
      </c>
      <c r="C73" s="4" t="s">
        <v>8</v>
      </c>
    </row>
    <row r="74" spans="1:3" x14ac:dyDescent="0.3">
      <c r="A74" s="5" t="s">
        <v>153</v>
      </c>
      <c r="B74" s="8" t="s">
        <v>154</v>
      </c>
      <c r="C74" s="6" t="s">
        <v>8</v>
      </c>
    </row>
    <row r="75" spans="1:3" x14ac:dyDescent="0.3">
      <c r="A75" s="3" t="s">
        <v>155</v>
      </c>
      <c r="B75" s="7" t="s">
        <v>156</v>
      </c>
      <c r="C75" s="4" t="s">
        <v>18</v>
      </c>
    </row>
    <row r="76" spans="1:3" x14ac:dyDescent="0.3">
      <c r="A76" s="5" t="s">
        <v>157</v>
      </c>
      <c r="B76" s="8" t="s">
        <v>158</v>
      </c>
      <c r="C76" s="6" t="s">
        <v>8</v>
      </c>
    </row>
    <row r="77" spans="1:3" x14ac:dyDescent="0.3">
      <c r="A77" s="3" t="s">
        <v>159</v>
      </c>
      <c r="B77" s="7" t="s">
        <v>160</v>
      </c>
      <c r="C77" s="4" t="s">
        <v>8</v>
      </c>
    </row>
    <row r="78" spans="1:3" x14ac:dyDescent="0.3">
      <c r="A78" s="5" t="s">
        <v>161</v>
      </c>
      <c r="B78" s="8" t="s">
        <v>162</v>
      </c>
      <c r="C78" s="6" t="s">
        <v>8</v>
      </c>
    </row>
    <row r="79" spans="1:3" x14ac:dyDescent="0.3">
      <c r="A79" s="3" t="s">
        <v>163</v>
      </c>
      <c r="B79" s="7" t="s">
        <v>164</v>
      </c>
      <c r="C79" s="4" t="s">
        <v>8</v>
      </c>
    </row>
    <row r="80" spans="1:3" x14ac:dyDescent="0.3">
      <c r="A80" s="5" t="s">
        <v>165</v>
      </c>
      <c r="B80" s="8" t="s">
        <v>166</v>
      </c>
      <c r="C80" s="6" t="s">
        <v>13</v>
      </c>
    </row>
    <row r="81" spans="1:3" x14ac:dyDescent="0.3">
      <c r="A81" s="3" t="s">
        <v>167</v>
      </c>
      <c r="B81" s="7" t="s">
        <v>168</v>
      </c>
      <c r="C81" s="4" t="s">
        <v>18</v>
      </c>
    </row>
    <row r="82" spans="1:3" x14ac:dyDescent="0.3">
      <c r="A82" s="5" t="s">
        <v>169</v>
      </c>
      <c r="B82" s="8" t="s">
        <v>170</v>
      </c>
      <c r="C82" s="6" t="s">
        <v>18</v>
      </c>
    </row>
    <row r="83" spans="1:3" x14ac:dyDescent="0.3">
      <c r="A83" s="3" t="s">
        <v>171</v>
      </c>
      <c r="B83" s="7" t="s">
        <v>172</v>
      </c>
      <c r="C83" s="4" t="s">
        <v>13</v>
      </c>
    </row>
    <row r="84" spans="1:3" x14ac:dyDescent="0.3">
      <c r="A84" s="5" t="s">
        <v>173</v>
      </c>
      <c r="B84" s="8" t="s">
        <v>174</v>
      </c>
      <c r="C84" s="6" t="s">
        <v>13</v>
      </c>
    </row>
    <row r="85" spans="1:3" x14ac:dyDescent="0.3">
      <c r="A85" s="3" t="s">
        <v>175</v>
      </c>
      <c r="B85" s="7" t="s">
        <v>176</v>
      </c>
      <c r="C85" s="4" t="s">
        <v>18</v>
      </c>
    </row>
    <row r="86" spans="1:3" x14ac:dyDescent="0.3">
      <c r="A86" s="5" t="s">
        <v>177</v>
      </c>
      <c r="B86" s="8" t="s">
        <v>178</v>
      </c>
      <c r="C86" s="6" t="s">
        <v>8</v>
      </c>
    </row>
    <row r="87" spans="1:3" x14ac:dyDescent="0.3">
      <c r="A87" s="3" t="s">
        <v>179</v>
      </c>
      <c r="B87" s="7" t="s">
        <v>180</v>
      </c>
      <c r="C87" s="4" t="s">
        <v>8</v>
      </c>
    </row>
    <row r="88" spans="1:3" x14ac:dyDescent="0.3">
      <c r="A88" s="5" t="s">
        <v>181</v>
      </c>
      <c r="B88" s="8" t="s">
        <v>182</v>
      </c>
      <c r="C88" s="6" t="s">
        <v>18</v>
      </c>
    </row>
    <row r="89" spans="1:3" x14ac:dyDescent="0.3">
      <c r="A89" s="3" t="s">
        <v>183</v>
      </c>
      <c r="B89" s="7" t="s">
        <v>184</v>
      </c>
      <c r="C89" s="4" t="s">
        <v>8</v>
      </c>
    </row>
    <row r="90" spans="1:3" x14ac:dyDescent="0.3">
      <c r="A90" s="5" t="s">
        <v>185</v>
      </c>
      <c r="B90" s="8" t="s">
        <v>186</v>
      </c>
      <c r="C90" s="6" t="s">
        <v>13</v>
      </c>
    </row>
    <row r="91" spans="1:3" x14ac:dyDescent="0.3">
      <c r="A91" s="3" t="s">
        <v>187</v>
      </c>
      <c r="B91" s="7" t="s">
        <v>188</v>
      </c>
      <c r="C91" s="4" t="s">
        <v>8</v>
      </c>
    </row>
    <row r="92" spans="1:3" x14ac:dyDescent="0.3">
      <c r="A92" s="5" t="s">
        <v>189</v>
      </c>
      <c r="B92" s="8" t="s">
        <v>190</v>
      </c>
      <c r="C92" s="6" t="s">
        <v>8</v>
      </c>
    </row>
    <row r="93" spans="1:3" x14ac:dyDescent="0.3">
      <c r="A93" s="3" t="s">
        <v>191</v>
      </c>
      <c r="B93" s="7" t="s">
        <v>192</v>
      </c>
      <c r="C93" s="4" t="s">
        <v>8</v>
      </c>
    </row>
    <row r="94" spans="1:3" x14ac:dyDescent="0.3">
      <c r="A94" s="5" t="s">
        <v>193</v>
      </c>
      <c r="B94" s="8" t="s">
        <v>194</v>
      </c>
      <c r="C94" s="6" t="s">
        <v>18</v>
      </c>
    </row>
    <row r="95" spans="1:3" x14ac:dyDescent="0.3">
      <c r="A95" s="3" t="s">
        <v>195</v>
      </c>
      <c r="B95" s="7" t="s">
        <v>196</v>
      </c>
      <c r="C95" s="4" t="s">
        <v>13</v>
      </c>
    </row>
    <row r="96" spans="1:3" x14ac:dyDescent="0.3">
      <c r="A96" s="5" t="s">
        <v>197</v>
      </c>
      <c r="B96" s="8" t="s">
        <v>198</v>
      </c>
      <c r="C96" s="6" t="s">
        <v>8</v>
      </c>
    </row>
    <row r="97" spans="1:3" x14ac:dyDescent="0.3">
      <c r="A97" s="3" t="s">
        <v>199</v>
      </c>
      <c r="B97" s="7" t="s">
        <v>200</v>
      </c>
      <c r="C97" s="4" t="s">
        <v>18</v>
      </c>
    </row>
    <row r="98" spans="1:3" x14ac:dyDescent="0.3">
      <c r="A98" s="5" t="s">
        <v>201</v>
      </c>
      <c r="B98" s="8" t="s">
        <v>202</v>
      </c>
      <c r="C98" s="6" t="s">
        <v>8</v>
      </c>
    </row>
    <row r="99" spans="1:3" x14ac:dyDescent="0.3">
      <c r="A99" s="3" t="s">
        <v>203</v>
      </c>
      <c r="B99" s="7" t="s">
        <v>204</v>
      </c>
      <c r="C99" s="4" t="s">
        <v>13</v>
      </c>
    </row>
    <row r="100" spans="1:3" x14ac:dyDescent="0.3">
      <c r="A100" s="5" t="s">
        <v>205</v>
      </c>
      <c r="B100" s="8" t="s">
        <v>206</v>
      </c>
      <c r="C100" s="6" t="s">
        <v>8</v>
      </c>
    </row>
    <row r="101" spans="1:3" x14ac:dyDescent="0.3">
      <c r="A101" s="3" t="s">
        <v>207</v>
      </c>
      <c r="B101" s="7" t="s">
        <v>208</v>
      </c>
      <c r="C101" s="4" t="s">
        <v>13</v>
      </c>
    </row>
    <row r="102" spans="1:3" x14ac:dyDescent="0.3">
      <c r="A102" s="5" t="s">
        <v>209</v>
      </c>
      <c r="B102" s="8" t="s">
        <v>210</v>
      </c>
      <c r="C102" s="6" t="s">
        <v>8</v>
      </c>
    </row>
    <row r="103" spans="1:3" x14ac:dyDescent="0.3">
      <c r="A103" s="3" t="s">
        <v>211</v>
      </c>
      <c r="B103" s="7" t="s">
        <v>212</v>
      </c>
      <c r="C103" s="4" t="s">
        <v>13</v>
      </c>
    </row>
    <row r="104" spans="1:3" x14ac:dyDescent="0.3">
      <c r="A104" s="5" t="s">
        <v>213</v>
      </c>
      <c r="B104" s="8" t="s">
        <v>214</v>
      </c>
      <c r="C104" s="6" t="s">
        <v>8</v>
      </c>
    </row>
    <row r="105" spans="1:3" x14ac:dyDescent="0.3">
      <c r="A105" s="3" t="s">
        <v>215</v>
      </c>
      <c r="B105" s="7" t="s">
        <v>216</v>
      </c>
      <c r="C105" s="4" t="s">
        <v>13</v>
      </c>
    </row>
    <row r="106" spans="1:3" x14ac:dyDescent="0.3">
      <c r="A106" s="5" t="s">
        <v>217</v>
      </c>
      <c r="B106" s="8" t="s">
        <v>218</v>
      </c>
      <c r="C106" s="6" t="s">
        <v>8</v>
      </c>
    </row>
    <row r="107" spans="1:3" x14ac:dyDescent="0.3">
      <c r="A107" s="3" t="s">
        <v>219</v>
      </c>
      <c r="B107" s="7" t="s">
        <v>220</v>
      </c>
      <c r="C107" s="4" t="s">
        <v>8</v>
      </c>
    </row>
    <row r="108" spans="1:3" x14ac:dyDescent="0.3">
      <c r="A108" s="5" t="s">
        <v>221</v>
      </c>
      <c r="B108" s="8" t="s">
        <v>222</v>
      </c>
      <c r="C108" s="6" t="s">
        <v>18</v>
      </c>
    </row>
    <row r="109" spans="1:3" x14ac:dyDescent="0.3">
      <c r="A109" s="3" t="s">
        <v>223</v>
      </c>
      <c r="B109" s="7" t="s">
        <v>224</v>
      </c>
      <c r="C109" s="4" t="s">
        <v>18</v>
      </c>
    </row>
    <row r="110" spans="1:3" x14ac:dyDescent="0.3">
      <c r="A110" s="5" t="s">
        <v>225</v>
      </c>
      <c r="B110" s="8" t="s">
        <v>226</v>
      </c>
      <c r="C110" s="6" t="s">
        <v>13</v>
      </c>
    </row>
    <row r="111" spans="1:3" x14ac:dyDescent="0.3">
      <c r="A111" s="3" t="s">
        <v>227</v>
      </c>
      <c r="B111" s="7" t="s">
        <v>228</v>
      </c>
      <c r="C111" s="4" t="s">
        <v>8</v>
      </c>
    </row>
    <row r="112" spans="1:3" x14ac:dyDescent="0.3">
      <c r="A112" s="5" t="s">
        <v>229</v>
      </c>
      <c r="B112" s="8" t="s">
        <v>230</v>
      </c>
      <c r="C112" s="6" t="s">
        <v>13</v>
      </c>
    </row>
    <row r="113" spans="1:3" x14ac:dyDescent="0.3">
      <c r="A113" s="3" t="s">
        <v>231</v>
      </c>
      <c r="B113" s="7" t="s">
        <v>232</v>
      </c>
      <c r="C113" s="4" t="s">
        <v>18</v>
      </c>
    </row>
    <row r="114" spans="1:3" x14ac:dyDescent="0.3">
      <c r="A114" s="5" t="s">
        <v>233</v>
      </c>
      <c r="B114" s="8" t="s">
        <v>234</v>
      </c>
      <c r="C114" s="6" t="s">
        <v>13</v>
      </c>
    </row>
    <row r="115" spans="1:3" x14ac:dyDescent="0.3">
      <c r="A115" s="3" t="s">
        <v>235</v>
      </c>
      <c r="B115" s="7" t="s">
        <v>236</v>
      </c>
      <c r="C115" s="4" t="s">
        <v>13</v>
      </c>
    </row>
    <row r="116" spans="1:3" x14ac:dyDescent="0.3">
      <c r="A116" s="5" t="s">
        <v>237</v>
      </c>
      <c r="B116" s="8" t="s">
        <v>238</v>
      </c>
      <c r="C116" s="6" t="s">
        <v>18</v>
      </c>
    </row>
    <row r="117" spans="1:3" x14ac:dyDescent="0.3">
      <c r="A117" s="3" t="s">
        <v>239</v>
      </c>
      <c r="B117" s="7" t="s">
        <v>240</v>
      </c>
      <c r="C117" s="4" t="s">
        <v>8</v>
      </c>
    </row>
    <row r="118" spans="1:3" x14ac:dyDescent="0.3">
      <c r="A118" s="5" t="s">
        <v>241</v>
      </c>
      <c r="B118" s="8" t="s">
        <v>242</v>
      </c>
      <c r="C118" s="6" t="s">
        <v>13</v>
      </c>
    </row>
    <row r="119" spans="1:3" x14ac:dyDescent="0.3">
      <c r="A119" s="3" t="s">
        <v>243</v>
      </c>
      <c r="B119" s="7" t="s">
        <v>244</v>
      </c>
      <c r="C119" s="4" t="s">
        <v>18</v>
      </c>
    </row>
    <row r="120" spans="1:3" x14ac:dyDescent="0.3">
      <c r="A120" s="5" t="s">
        <v>245</v>
      </c>
      <c r="B120" s="8" t="s">
        <v>246</v>
      </c>
      <c r="C120" s="6" t="s">
        <v>8</v>
      </c>
    </row>
    <row r="121" spans="1:3" x14ac:dyDescent="0.3">
      <c r="A121" s="3" t="s">
        <v>247</v>
      </c>
      <c r="B121" s="7" t="s">
        <v>248</v>
      </c>
      <c r="C121" s="4" t="s">
        <v>18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7101B-978A-4BFB-B3B7-CF250F4B03E4}">
  <dimension ref="A1:C17"/>
  <sheetViews>
    <sheetView zoomScale="120" zoomScaleNormal="120" workbookViewId="0">
      <selection activeCell="B18" sqref="B18"/>
    </sheetView>
  </sheetViews>
  <sheetFormatPr defaultRowHeight="14.4" x14ac:dyDescent="0.3"/>
  <cols>
    <col min="1" max="1" width="5.6640625" bestFit="1" customWidth="1"/>
    <col min="2" max="2" width="51.77734375" bestFit="1" customWidth="1"/>
    <col min="3" max="3" width="17.109375" style="11" customWidth="1"/>
  </cols>
  <sheetData>
    <row r="1" spans="1:3" x14ac:dyDescent="0.3">
      <c r="A1" t="s">
        <v>249</v>
      </c>
      <c r="B1" t="s">
        <v>250</v>
      </c>
      <c r="C1" s="11" t="s">
        <v>1259</v>
      </c>
    </row>
    <row r="2" spans="1:3" x14ac:dyDescent="0.3">
      <c r="A2">
        <v>1</v>
      </c>
      <c r="B2" t="s">
        <v>251</v>
      </c>
      <c r="C2" s="11">
        <v>1047185</v>
      </c>
    </row>
    <row r="3" spans="1:3" x14ac:dyDescent="0.3">
      <c r="A3">
        <v>2</v>
      </c>
      <c r="B3" t="s">
        <v>252</v>
      </c>
      <c r="C3" s="11">
        <v>400747</v>
      </c>
    </row>
    <row r="4" spans="1:3" x14ac:dyDescent="0.3">
      <c r="A4">
        <v>3</v>
      </c>
      <c r="B4" t="s">
        <v>253</v>
      </c>
      <c r="C4" s="14">
        <v>0.38290000000000002</v>
      </c>
    </row>
    <row r="5" spans="1:3" x14ac:dyDescent="0.3">
      <c r="A5">
        <v>4</v>
      </c>
      <c r="B5" t="s">
        <v>254</v>
      </c>
      <c r="C5">
        <v>1050</v>
      </c>
    </row>
    <row r="6" spans="1:3" x14ac:dyDescent="0.3">
      <c r="A6">
        <v>5</v>
      </c>
      <c r="B6" t="s">
        <v>255</v>
      </c>
      <c r="C6">
        <v>650</v>
      </c>
    </row>
    <row r="7" spans="1:3" x14ac:dyDescent="0.3">
      <c r="A7">
        <v>6</v>
      </c>
      <c r="B7" t="s">
        <v>256</v>
      </c>
      <c r="C7" s="11">
        <v>1611</v>
      </c>
    </row>
    <row r="8" spans="1:3" x14ac:dyDescent="0.3">
      <c r="A8">
        <v>7</v>
      </c>
      <c r="B8" t="s">
        <v>257</v>
      </c>
      <c r="C8" s="19" t="s">
        <v>1260</v>
      </c>
    </row>
    <row r="9" spans="1:3" x14ac:dyDescent="0.3">
      <c r="A9">
        <v>10</v>
      </c>
      <c r="B9" t="s">
        <v>258</v>
      </c>
      <c r="C9" s="11">
        <v>971635</v>
      </c>
    </row>
    <row r="11" spans="1:3" x14ac:dyDescent="0.3">
      <c r="B11" t="s">
        <v>1261</v>
      </c>
    </row>
    <row r="12" spans="1:3" x14ac:dyDescent="0.3">
      <c r="B12" t="s">
        <v>1262</v>
      </c>
    </row>
    <row r="14" spans="1:3" x14ac:dyDescent="0.3">
      <c r="B14" t="s">
        <v>1263</v>
      </c>
    </row>
    <row r="15" spans="1:3" x14ac:dyDescent="0.3">
      <c r="B15" t="s">
        <v>1264</v>
      </c>
    </row>
    <row r="16" spans="1:3" x14ac:dyDescent="0.3">
      <c r="B16" t="s">
        <v>1265</v>
      </c>
    </row>
    <row r="17" spans="2:2" x14ac:dyDescent="0.3">
      <c r="B17" t="s">
        <v>1266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45376-E36F-473C-96D7-4E7A9755E92E}">
  <dimension ref="A2:H142"/>
  <sheetViews>
    <sheetView topLeftCell="A17" zoomScale="23" zoomScaleNormal="110" workbookViewId="0">
      <selection activeCell="J44" sqref="J44"/>
    </sheetView>
  </sheetViews>
  <sheetFormatPr defaultRowHeight="14.4" x14ac:dyDescent="0.3"/>
  <cols>
    <col min="1" max="2" width="18.77734375" bestFit="1" customWidth="1"/>
    <col min="3" max="3" width="23" bestFit="1" customWidth="1"/>
    <col min="4" max="4" width="30.88671875" bestFit="1" customWidth="1"/>
    <col min="5" max="5" width="18.77734375" bestFit="1" customWidth="1"/>
    <col min="6" max="6" width="23" bestFit="1" customWidth="1"/>
    <col min="7" max="7" width="23.33203125" bestFit="1" customWidth="1"/>
    <col min="8" max="8" width="23" bestFit="1" customWidth="1"/>
  </cols>
  <sheetData>
    <row r="2" spans="1:2" ht="23.4" x14ac:dyDescent="0.45">
      <c r="A2" s="10" t="s">
        <v>1241</v>
      </c>
    </row>
    <row r="3" spans="1:2" x14ac:dyDescent="0.3">
      <c r="A3" s="9" t="s">
        <v>1239</v>
      </c>
      <c r="B3" s="11" t="s">
        <v>1252</v>
      </c>
    </row>
    <row r="4" spans="1:2" x14ac:dyDescent="0.3">
      <c r="A4" s="2" t="s">
        <v>1234</v>
      </c>
      <c r="B4" s="11">
        <v>128560</v>
      </c>
    </row>
    <row r="5" spans="1:2" x14ac:dyDescent="0.3">
      <c r="A5" s="2" t="s">
        <v>1235</v>
      </c>
      <c r="B5" s="11">
        <v>138520</v>
      </c>
    </row>
    <row r="6" spans="1:2" x14ac:dyDescent="0.3">
      <c r="A6" s="2" t="s">
        <v>1230</v>
      </c>
      <c r="B6" s="11">
        <v>125417.5</v>
      </c>
    </row>
    <row r="7" spans="1:2" x14ac:dyDescent="0.3">
      <c r="A7" s="2" t="s">
        <v>1231</v>
      </c>
      <c r="B7" s="11">
        <v>119960</v>
      </c>
    </row>
    <row r="8" spans="1:2" x14ac:dyDescent="0.3">
      <c r="A8" s="2" t="s">
        <v>1237</v>
      </c>
      <c r="B8" s="11">
        <v>124440</v>
      </c>
    </row>
    <row r="9" spans="1:2" x14ac:dyDescent="0.3">
      <c r="A9" s="2" t="s">
        <v>1233</v>
      </c>
      <c r="B9" s="11">
        <v>142047.5</v>
      </c>
    </row>
    <row r="10" spans="1:2" x14ac:dyDescent="0.3">
      <c r="A10" s="2" t="s">
        <v>1232</v>
      </c>
      <c r="B10" s="11">
        <v>134670</v>
      </c>
    </row>
    <row r="11" spans="1:2" x14ac:dyDescent="0.3">
      <c r="A11" s="2" t="s">
        <v>1236</v>
      </c>
      <c r="B11" s="11">
        <v>133570</v>
      </c>
    </row>
    <row r="12" spans="1:2" x14ac:dyDescent="0.3">
      <c r="A12" s="2" t="s">
        <v>1240</v>
      </c>
      <c r="B12" s="11">
        <v>1047185</v>
      </c>
    </row>
    <row r="18" spans="1:2" x14ac:dyDescent="0.3">
      <c r="A18" t="s">
        <v>1242</v>
      </c>
    </row>
    <row r="20" spans="1:2" x14ac:dyDescent="0.3">
      <c r="A20" s="9" t="s">
        <v>1239</v>
      </c>
      <c r="B20" s="11" t="s">
        <v>1252</v>
      </c>
    </row>
    <row r="21" spans="1:2" x14ac:dyDescent="0.3">
      <c r="A21" s="2" t="s">
        <v>352</v>
      </c>
      <c r="B21" s="11">
        <v>182220</v>
      </c>
    </row>
    <row r="22" spans="1:2" x14ac:dyDescent="0.3">
      <c r="A22" s="2" t="s">
        <v>362</v>
      </c>
      <c r="B22" s="11">
        <v>184585</v>
      </c>
    </row>
    <row r="23" spans="1:2" x14ac:dyDescent="0.3">
      <c r="A23" s="2" t="s">
        <v>376</v>
      </c>
      <c r="B23" s="11">
        <v>89180</v>
      </c>
    </row>
    <row r="24" spans="1:2" x14ac:dyDescent="0.3">
      <c r="A24" s="2" t="s">
        <v>347</v>
      </c>
      <c r="B24" s="11">
        <v>204805</v>
      </c>
    </row>
    <row r="25" spans="1:2" x14ac:dyDescent="0.3">
      <c r="A25" s="2" t="s">
        <v>384</v>
      </c>
      <c r="B25" s="11">
        <v>118925</v>
      </c>
    </row>
    <row r="26" spans="1:2" x14ac:dyDescent="0.3">
      <c r="A26" s="2" t="s">
        <v>343</v>
      </c>
      <c r="B26" s="11">
        <v>87095</v>
      </c>
    </row>
    <row r="27" spans="1:2" x14ac:dyDescent="0.3">
      <c r="A27" s="2" t="s">
        <v>371</v>
      </c>
      <c r="B27" s="11">
        <v>180375</v>
      </c>
    </row>
    <row r="28" spans="1:2" x14ac:dyDescent="0.3">
      <c r="A28" s="2" t="s">
        <v>1240</v>
      </c>
      <c r="B28" s="11">
        <v>1047185</v>
      </c>
    </row>
    <row r="32" spans="1:2" ht="21" x14ac:dyDescent="0.4">
      <c r="B32" s="12" t="s">
        <v>1243</v>
      </c>
    </row>
    <row r="40" spans="7:7" ht="46.2" x14ac:dyDescent="0.85">
      <c r="G40" s="20" t="s">
        <v>1267</v>
      </c>
    </row>
    <row r="51" spans="1:8" x14ac:dyDescent="0.3">
      <c r="E51" t="s">
        <v>1244</v>
      </c>
    </row>
    <row r="53" spans="1:8" x14ac:dyDescent="0.3">
      <c r="A53" s="9" t="s">
        <v>1239</v>
      </c>
      <c r="B53" s="11" t="s">
        <v>1252</v>
      </c>
    </row>
    <row r="54" spans="1:8" x14ac:dyDescent="0.3">
      <c r="A54" s="2" t="s">
        <v>573</v>
      </c>
      <c r="B54" s="11">
        <v>218400</v>
      </c>
      <c r="G54" s="9" t="s">
        <v>1239</v>
      </c>
      <c r="H54" s="11" t="s">
        <v>1252</v>
      </c>
    </row>
    <row r="55" spans="1:8" x14ac:dyDescent="0.3">
      <c r="A55" s="2" t="s">
        <v>1240</v>
      </c>
      <c r="B55" s="11">
        <v>218400</v>
      </c>
      <c r="G55" s="2" t="s">
        <v>1138</v>
      </c>
      <c r="H55" s="11">
        <v>2200</v>
      </c>
    </row>
    <row r="56" spans="1:8" x14ac:dyDescent="0.3">
      <c r="G56" s="2" t="s">
        <v>573</v>
      </c>
      <c r="H56" s="11">
        <v>218400</v>
      </c>
    </row>
    <row r="57" spans="1:8" x14ac:dyDescent="0.3">
      <c r="G57" s="2" t="s">
        <v>570</v>
      </c>
      <c r="H57" s="11">
        <v>207567.5</v>
      </c>
    </row>
    <row r="58" spans="1:8" x14ac:dyDescent="0.3">
      <c r="G58" s="2" t="s">
        <v>576</v>
      </c>
      <c r="H58" s="11">
        <v>214225</v>
      </c>
    </row>
    <row r="59" spans="1:8" x14ac:dyDescent="0.3">
      <c r="G59" s="2" t="s">
        <v>579</v>
      </c>
      <c r="H59" s="11">
        <v>195945</v>
      </c>
    </row>
    <row r="60" spans="1:8" x14ac:dyDescent="0.3">
      <c r="G60" s="2" t="s">
        <v>567</v>
      </c>
      <c r="H60" s="11">
        <v>208847.5</v>
      </c>
    </row>
    <row r="61" spans="1:8" x14ac:dyDescent="0.3">
      <c r="G61" s="2" t="s">
        <v>1240</v>
      </c>
      <c r="H61" s="11">
        <v>1047185</v>
      </c>
    </row>
    <row r="69" spans="2:7" ht="18" x14ac:dyDescent="0.35">
      <c r="F69" s="13" t="s">
        <v>1250</v>
      </c>
    </row>
    <row r="70" spans="2:7" ht="21" x14ac:dyDescent="0.4">
      <c r="B70" s="12" t="s">
        <v>1248</v>
      </c>
    </row>
    <row r="73" spans="2:7" x14ac:dyDescent="0.3">
      <c r="B73" s="9" t="s">
        <v>1239</v>
      </c>
      <c r="C73" s="11" t="s">
        <v>1249</v>
      </c>
      <c r="F73" s="9" t="s">
        <v>1239</v>
      </c>
      <c r="G73" s="11" t="s">
        <v>1249</v>
      </c>
    </row>
    <row r="74" spans="2:7" x14ac:dyDescent="0.3">
      <c r="B74" s="2" t="s">
        <v>1138</v>
      </c>
      <c r="C74" s="11">
        <v>840</v>
      </c>
      <c r="F74" s="2" t="s">
        <v>573</v>
      </c>
      <c r="G74" s="11">
        <v>83570</v>
      </c>
    </row>
    <row r="75" spans="2:7" x14ac:dyDescent="0.3">
      <c r="B75" s="2" t="s">
        <v>573</v>
      </c>
      <c r="C75" s="11">
        <v>83570</v>
      </c>
      <c r="F75" s="2" t="s">
        <v>1240</v>
      </c>
      <c r="G75" s="11">
        <v>83570</v>
      </c>
    </row>
    <row r="76" spans="2:7" x14ac:dyDescent="0.3">
      <c r="B76" s="2" t="s">
        <v>570</v>
      </c>
      <c r="C76" s="11">
        <v>79847.5</v>
      </c>
    </row>
    <row r="77" spans="2:7" x14ac:dyDescent="0.3">
      <c r="B77" s="2" t="s">
        <v>576</v>
      </c>
      <c r="C77" s="11">
        <v>81935</v>
      </c>
    </row>
    <row r="78" spans="2:7" x14ac:dyDescent="0.3">
      <c r="B78" s="2" t="s">
        <v>579</v>
      </c>
      <c r="C78" s="11">
        <v>75035</v>
      </c>
    </row>
    <row r="79" spans="2:7" x14ac:dyDescent="0.3">
      <c r="B79" s="2" t="s">
        <v>567</v>
      </c>
      <c r="C79" s="11">
        <v>79517.5</v>
      </c>
    </row>
    <row r="80" spans="2:7" x14ac:dyDescent="0.3">
      <c r="B80" s="2" t="s">
        <v>1240</v>
      </c>
      <c r="C80" s="11">
        <v>400745</v>
      </c>
    </row>
    <row r="85" spans="2:6" ht="23.4" x14ac:dyDescent="0.45">
      <c r="B85" s="10" t="s">
        <v>1251</v>
      </c>
    </row>
    <row r="87" spans="2:6" x14ac:dyDescent="0.3">
      <c r="B87" s="9" t="s">
        <v>1239</v>
      </c>
      <c r="C87" s="11" t="s">
        <v>1252</v>
      </c>
      <c r="E87" s="9" t="s">
        <v>1239</v>
      </c>
      <c r="F87" s="11" t="s">
        <v>1252</v>
      </c>
    </row>
    <row r="88" spans="2:6" x14ac:dyDescent="0.3">
      <c r="B88" s="2" t="s">
        <v>18</v>
      </c>
      <c r="C88" s="11">
        <v>329662.5</v>
      </c>
      <c r="E88" s="2" t="s">
        <v>8</v>
      </c>
      <c r="F88" s="11">
        <v>365037.5</v>
      </c>
    </row>
    <row r="89" spans="2:6" x14ac:dyDescent="0.3">
      <c r="B89" s="2" t="s">
        <v>8</v>
      </c>
      <c r="C89" s="11">
        <v>365037.5</v>
      </c>
    </row>
    <row r="90" spans="2:6" x14ac:dyDescent="0.3">
      <c r="B90" s="2" t="s">
        <v>13</v>
      </c>
      <c r="C90" s="11">
        <v>352485</v>
      </c>
    </row>
    <row r="91" spans="2:6" x14ac:dyDescent="0.3">
      <c r="B91" s="2" t="s">
        <v>1240</v>
      </c>
      <c r="C91" s="11">
        <v>1047185</v>
      </c>
    </row>
    <row r="96" spans="2:6" ht="23.4" x14ac:dyDescent="0.45">
      <c r="B96" s="10" t="s">
        <v>1253</v>
      </c>
      <c r="E96" t="s">
        <v>1255</v>
      </c>
    </row>
    <row r="99" spans="2:6" x14ac:dyDescent="0.3">
      <c r="B99" s="9" t="s">
        <v>1239</v>
      </c>
      <c r="C99" t="s">
        <v>1254</v>
      </c>
      <c r="E99" s="9" t="s">
        <v>1239</v>
      </c>
      <c r="F99" t="s">
        <v>1254</v>
      </c>
    </row>
    <row r="100" spans="2:6" x14ac:dyDescent="0.3">
      <c r="B100" s="2" t="s">
        <v>585</v>
      </c>
      <c r="C100">
        <v>173</v>
      </c>
      <c r="E100" s="2" t="s">
        <v>568</v>
      </c>
      <c r="F100">
        <v>288</v>
      </c>
    </row>
    <row r="101" spans="2:6" x14ac:dyDescent="0.3">
      <c r="B101" s="2" t="s">
        <v>574</v>
      </c>
      <c r="C101">
        <v>154</v>
      </c>
    </row>
    <row r="102" spans="2:6" x14ac:dyDescent="0.3">
      <c r="B102" s="2" t="s">
        <v>571</v>
      </c>
      <c r="C102">
        <v>35</v>
      </c>
    </row>
    <row r="103" spans="2:6" x14ac:dyDescent="0.3">
      <c r="B103" s="2" t="s">
        <v>568</v>
      </c>
      <c r="C103">
        <v>288</v>
      </c>
    </row>
    <row r="104" spans="2:6" x14ac:dyDescent="0.3">
      <c r="B104" s="2" t="s">
        <v>1240</v>
      </c>
      <c r="C104">
        <v>650</v>
      </c>
    </row>
    <row r="107" spans="2:6" x14ac:dyDescent="0.3">
      <c r="B107" s="9" t="s">
        <v>1239</v>
      </c>
      <c r="C107" t="s">
        <v>1252</v>
      </c>
    </row>
    <row r="108" spans="2:6" x14ac:dyDescent="0.3">
      <c r="B108" s="2" t="s">
        <v>356</v>
      </c>
      <c r="C108">
        <v>34250</v>
      </c>
    </row>
    <row r="109" spans="2:6" x14ac:dyDescent="0.3">
      <c r="B109" s="2" t="s">
        <v>346</v>
      </c>
      <c r="C109">
        <v>50885</v>
      </c>
    </row>
    <row r="110" spans="2:6" x14ac:dyDescent="0.3">
      <c r="B110" s="2" t="s">
        <v>401</v>
      </c>
      <c r="C110">
        <v>60320</v>
      </c>
    </row>
    <row r="111" spans="2:6" x14ac:dyDescent="0.3">
      <c r="B111" s="2" t="s">
        <v>388</v>
      </c>
      <c r="C111">
        <v>55095</v>
      </c>
    </row>
    <row r="112" spans="2:6" x14ac:dyDescent="0.3">
      <c r="B112" s="2" t="s">
        <v>383</v>
      </c>
      <c r="C112">
        <v>58605</v>
      </c>
    </row>
    <row r="113" spans="2:7" x14ac:dyDescent="0.3">
      <c r="B113" s="2" t="s">
        <v>370</v>
      </c>
      <c r="C113">
        <v>78660</v>
      </c>
    </row>
    <row r="114" spans="2:7" x14ac:dyDescent="0.3">
      <c r="B114" s="2" t="s">
        <v>375</v>
      </c>
      <c r="C114">
        <v>52540</v>
      </c>
    </row>
    <row r="115" spans="2:7" x14ac:dyDescent="0.3">
      <c r="B115" s="2" t="s">
        <v>397</v>
      </c>
      <c r="C115">
        <v>36640</v>
      </c>
    </row>
    <row r="116" spans="2:7" x14ac:dyDescent="0.3">
      <c r="B116" s="2" t="s">
        <v>351</v>
      </c>
      <c r="C116">
        <v>57845</v>
      </c>
    </row>
    <row r="117" spans="2:7" x14ac:dyDescent="0.3">
      <c r="B117" s="2" t="s">
        <v>367</v>
      </c>
      <c r="C117">
        <v>124375</v>
      </c>
    </row>
    <row r="118" spans="2:7" x14ac:dyDescent="0.3">
      <c r="B118" s="2" t="s">
        <v>342</v>
      </c>
      <c r="C118">
        <v>52845</v>
      </c>
    </row>
    <row r="119" spans="2:7" x14ac:dyDescent="0.3">
      <c r="B119" s="2" t="s">
        <v>416</v>
      </c>
      <c r="C119">
        <v>98825</v>
      </c>
    </row>
    <row r="120" spans="2:7" x14ac:dyDescent="0.3">
      <c r="B120" s="2" t="s">
        <v>361</v>
      </c>
      <c r="C120">
        <v>71385</v>
      </c>
    </row>
    <row r="121" spans="2:7" x14ac:dyDescent="0.3">
      <c r="B121" s="2" t="s">
        <v>420</v>
      </c>
      <c r="C121">
        <v>113200</v>
      </c>
    </row>
    <row r="122" spans="2:7" x14ac:dyDescent="0.3">
      <c r="B122" s="2" t="s">
        <v>394</v>
      </c>
      <c r="C122">
        <v>101715</v>
      </c>
    </row>
    <row r="123" spans="2:7" x14ac:dyDescent="0.3">
      <c r="B123" s="2" t="s">
        <v>1240</v>
      </c>
      <c r="C123">
        <v>1047185</v>
      </c>
    </row>
    <row r="128" spans="2:7" x14ac:dyDescent="0.3">
      <c r="G128">
        <v>15</v>
      </c>
    </row>
    <row r="130" spans="2:8" x14ac:dyDescent="0.3">
      <c r="B130" t="s">
        <v>1257</v>
      </c>
    </row>
    <row r="131" spans="2:8" x14ac:dyDescent="0.3">
      <c r="G131" s="9" t="s">
        <v>1239</v>
      </c>
      <c r="H131" t="s">
        <v>1252</v>
      </c>
    </row>
    <row r="132" spans="2:8" x14ac:dyDescent="0.3">
      <c r="B132" s="9" t="s">
        <v>1239</v>
      </c>
      <c r="C132" t="s">
        <v>1252</v>
      </c>
      <c r="G132" s="2" t="s">
        <v>71</v>
      </c>
      <c r="H132">
        <v>21155</v>
      </c>
    </row>
    <row r="133" spans="2:8" x14ac:dyDescent="0.3">
      <c r="B133" s="2" t="s">
        <v>266</v>
      </c>
      <c r="C133">
        <v>541787.5</v>
      </c>
      <c r="G133" s="2" t="s">
        <v>41</v>
      </c>
      <c r="H133">
        <v>20905</v>
      </c>
    </row>
    <row r="134" spans="2:8" x14ac:dyDescent="0.3">
      <c r="B134" s="2" t="s">
        <v>269</v>
      </c>
      <c r="C134">
        <v>505397.5</v>
      </c>
      <c r="G134" s="2" t="s">
        <v>247</v>
      </c>
      <c r="H134">
        <v>19410</v>
      </c>
    </row>
    <row r="135" spans="2:8" x14ac:dyDescent="0.3">
      <c r="B135" s="2" t="s">
        <v>1240</v>
      </c>
      <c r="C135">
        <v>1047185</v>
      </c>
      <c r="G135" s="2" t="s">
        <v>49</v>
      </c>
      <c r="H135">
        <v>17255</v>
      </c>
    </row>
    <row r="136" spans="2:8" x14ac:dyDescent="0.3">
      <c r="G136" s="2" t="s">
        <v>193</v>
      </c>
      <c r="H136">
        <v>17235</v>
      </c>
    </row>
    <row r="137" spans="2:8" x14ac:dyDescent="0.3">
      <c r="G137" s="2" t="s">
        <v>123</v>
      </c>
      <c r="H137">
        <v>17145</v>
      </c>
    </row>
    <row r="138" spans="2:8" x14ac:dyDescent="0.3">
      <c r="G138" s="2" t="s">
        <v>37</v>
      </c>
      <c r="H138">
        <v>16920</v>
      </c>
    </row>
    <row r="139" spans="2:8" x14ac:dyDescent="0.3">
      <c r="G139" s="2" t="s">
        <v>87</v>
      </c>
      <c r="H139">
        <v>16640</v>
      </c>
    </row>
    <row r="140" spans="2:8" x14ac:dyDescent="0.3">
      <c r="G140" s="2" t="s">
        <v>215</v>
      </c>
      <c r="H140">
        <v>16505</v>
      </c>
    </row>
    <row r="141" spans="2:8" x14ac:dyDescent="0.3">
      <c r="G141" s="2" t="s">
        <v>11</v>
      </c>
      <c r="H141">
        <v>16215</v>
      </c>
    </row>
    <row r="142" spans="2:8" x14ac:dyDescent="0.3">
      <c r="G142" s="2" t="s">
        <v>1240</v>
      </c>
      <c r="H142">
        <v>179385</v>
      </c>
    </row>
  </sheetData>
  <pageMargins left="0.7" right="0.7" top="0.75" bottom="0.75" header="0.3" footer="0.3"/>
  <drawing r:id="rId1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Props1.xml><?xml version="1.0" encoding="utf-8"?>
<ds:datastoreItem xmlns:ds="http://schemas.openxmlformats.org/officeDocument/2006/customXml" ds:itemID="{19F27C83-472B-4F87-A4B6-072A9694700F}">
  <ds:schemaRefs/>
</ds:datastoreItem>
</file>

<file path=customXml/itemProps2.xml><?xml version="1.0" encoding="utf-8"?>
<ds:datastoreItem xmlns:ds="http://schemas.openxmlformats.org/officeDocument/2006/customXml" ds:itemID="{56473F25-FD86-4166-B501-A9ACEA7EB173}">
  <ds:schemaRefs/>
</ds:datastoreItem>
</file>

<file path=customXml/itemProps3.xml><?xml version="1.0" encoding="utf-8"?>
<ds:datastoreItem xmlns:ds="http://schemas.openxmlformats.org/officeDocument/2006/customXml" ds:itemID="{9A640C72-EF18-410D-A780-6DBAA2F8D4E7}">
  <ds:schemaRefs/>
</ds:datastoreItem>
</file>

<file path=customXml/itemProps4.xml><?xml version="1.0" encoding="utf-8"?>
<ds:datastoreItem xmlns:ds="http://schemas.openxmlformats.org/officeDocument/2006/customXml" ds:itemID="{0ABF3F13-372B-481C-BE01-46FD000A2045}">
  <ds:schemaRefs/>
</ds:datastoreItem>
</file>

<file path=customXml/itemProps5.xml><?xml version="1.0" encoding="utf-8"?>
<ds:datastoreItem xmlns:ds="http://schemas.openxmlformats.org/officeDocument/2006/customXml" ds:itemID="{3441EF71-9B01-4B43-9E7F-C5F8B4903D86}">
  <ds:schemaRefs/>
</ds:datastoreItem>
</file>

<file path=customXml/itemProps6.xml><?xml version="1.0" encoding="utf-8"?>
<ds:datastoreItem xmlns:ds="http://schemas.openxmlformats.org/officeDocument/2006/customXml" ds:itemID="{B20097CC-A26E-45BA-8E46-4266143E5371}">
  <ds:schemaRefs/>
</ds:datastoreItem>
</file>

<file path=customXml/itemProps7.xml><?xml version="1.0" encoding="utf-8"?>
<ds:datastoreItem xmlns:ds="http://schemas.openxmlformats.org/officeDocument/2006/customXml" ds:itemID="{D439994A-4AED-44D7-A747-90920FD3D3B1}">
  <ds:schemaRefs/>
</ds:datastoreItem>
</file>

<file path=customXml/itemProps8.xml><?xml version="1.0" encoding="utf-8"?>
<ds:datastoreItem xmlns:ds="http://schemas.openxmlformats.org/officeDocument/2006/customXml" ds:itemID="{BE608592-C3CB-4EE9-A7D0-DEAE96F93569}">
  <ds:schemaRefs/>
</ds:datastoreItem>
</file>

<file path=customXml/itemProps9.xml><?xml version="1.0" encoding="utf-8"?>
<ds:datastoreItem xmlns:ds="http://schemas.openxmlformats.org/officeDocument/2006/customXml" ds:itemID="{9B40C334-EE3D-459D-9710-DEC1A21D1322}">
  <ds:schemaRefs/>
</ds:datastoreItem>
</file>

<file path=customXml/itemProps10.xml><?xml version="1.0" encoding="utf-8"?>
<ds:datastoreItem xmlns:ds="http://schemas.openxmlformats.org/officeDocument/2006/customXml" ds:itemID="{7FB718B0-3A38-491E-A18D-025C6640279A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61CEAB32-9F88-4648-AD64-152C34845DAD}">
  <ds:schemaRefs/>
</ds:datastoreItem>
</file>

<file path=customXml/itemProps12.xml><?xml version="1.0" encoding="utf-8"?>
<ds:datastoreItem xmlns:ds="http://schemas.openxmlformats.org/officeDocument/2006/customXml" ds:itemID="{2A68A3E8-F678-4F9C-8423-10A75911C1B8}">
  <ds:schemaRefs/>
</ds:datastoreItem>
</file>

<file path=customXml/itemProps13.xml><?xml version="1.0" encoding="utf-8"?>
<ds:datastoreItem xmlns:ds="http://schemas.openxmlformats.org/officeDocument/2006/customXml" ds:itemID="{5B25792A-BFED-4EB1-8F09-48BA38102B2F}">
  <ds:schemaRefs/>
</ds:datastoreItem>
</file>

<file path=customXml/itemProps14.xml><?xml version="1.0" encoding="utf-8"?>
<ds:datastoreItem xmlns:ds="http://schemas.openxmlformats.org/officeDocument/2006/customXml" ds:itemID="{F81CBFAC-A938-443D-BF04-5B1BD8470053}">
  <ds:schemaRefs/>
</ds:datastoreItem>
</file>

<file path=customXml/itemProps15.xml><?xml version="1.0" encoding="utf-8"?>
<ds:datastoreItem xmlns:ds="http://schemas.openxmlformats.org/officeDocument/2006/customXml" ds:itemID="{1560D3CF-8ECF-4273-8011-586B3E9C9D4B}">
  <ds:schemaRefs/>
</ds:datastoreItem>
</file>

<file path=customXml/itemProps16.xml><?xml version="1.0" encoding="utf-8"?>
<ds:datastoreItem xmlns:ds="http://schemas.openxmlformats.org/officeDocument/2006/customXml" ds:itemID="{C8D7EB7D-325C-482E-9B5C-4A02964FDD4C}">
  <ds:schemaRefs/>
</ds:datastoreItem>
</file>

<file path=customXml/itemProps17.xml><?xml version="1.0" encoding="utf-8"?>
<ds:datastoreItem xmlns:ds="http://schemas.openxmlformats.org/officeDocument/2006/customXml" ds:itemID="{2636AFE6-A9DC-45C4-9159-40DAAF53797B}">
  <ds:schemaRefs/>
</ds:datastoreItem>
</file>

<file path=customXml/itemProps18.xml><?xml version="1.0" encoding="utf-8"?>
<ds:datastoreItem xmlns:ds="http://schemas.openxmlformats.org/officeDocument/2006/customXml" ds:itemID="{B5988019-648A-4C3D-B5DE-A9C8A070B450}">
  <ds:schemaRefs/>
</ds:datastoreItem>
</file>

<file path=customXml/itemProps19.xml><?xml version="1.0" encoding="utf-8"?>
<ds:datastoreItem xmlns:ds="http://schemas.openxmlformats.org/officeDocument/2006/customXml" ds:itemID="{18B33F9D-4D97-40B6-A889-97F996156D19}">
  <ds:schemaRefs/>
</ds:datastoreItem>
</file>

<file path=customXml/itemProps20.xml><?xml version="1.0" encoding="utf-8"?>
<ds:datastoreItem xmlns:ds="http://schemas.openxmlformats.org/officeDocument/2006/customXml" ds:itemID="{3F205EEF-1D05-4552-B39C-CBEB80D74509}">
  <ds:schemaRefs/>
</ds:datastoreItem>
</file>

<file path=customXml/itemProps21.xml><?xml version="1.0" encoding="utf-8"?>
<ds:datastoreItem xmlns:ds="http://schemas.openxmlformats.org/officeDocument/2006/customXml" ds:itemID="{9E96C9EC-3910-4576-BD2D-F8F4711D43EF}">
  <ds:schemaRefs/>
</ds:datastoreItem>
</file>

<file path=customXml/itemProps22.xml><?xml version="1.0" encoding="utf-8"?>
<ds:datastoreItem xmlns:ds="http://schemas.openxmlformats.org/officeDocument/2006/customXml" ds:itemID="{84A1FAAB-8962-4A48-A014-A8841F29CD8B}">
  <ds:schemaRefs/>
</ds:datastoreItem>
</file>

<file path=customXml/itemProps23.xml><?xml version="1.0" encoding="utf-8"?>
<ds:datastoreItem xmlns:ds="http://schemas.openxmlformats.org/officeDocument/2006/customXml" ds:itemID="{DFB3A72C-4705-4CF5-9D70-E384C8E732A7}">
  <ds:schemaRefs/>
</ds:datastoreItem>
</file>

<file path=customXml/itemProps24.xml><?xml version="1.0" encoding="utf-8"?>
<ds:datastoreItem xmlns:ds="http://schemas.openxmlformats.org/officeDocument/2006/customXml" ds:itemID="{19738210-5B82-4F4C-B10A-F50330343D52}">
  <ds:schemaRefs/>
</ds:datastoreItem>
</file>

<file path=customXml/itemProps25.xml><?xml version="1.0" encoding="utf-8"?>
<ds:datastoreItem xmlns:ds="http://schemas.openxmlformats.org/officeDocument/2006/customXml" ds:itemID="{712C0015-2D5D-4355-BDFD-595DC6830CC3}">
  <ds:schemaRefs/>
</ds:datastoreItem>
</file>

<file path=customXml/itemProps26.xml><?xml version="1.0" encoding="utf-8"?>
<ds:datastoreItem xmlns:ds="http://schemas.openxmlformats.org/officeDocument/2006/customXml" ds:itemID="{13B453CA-C1A9-425E-AFAD-6CF49BEDF7D5}">
  <ds:schemaRefs/>
</ds:datastoreItem>
</file>

<file path=customXml/itemProps27.xml><?xml version="1.0" encoding="utf-8"?>
<ds:datastoreItem xmlns:ds="http://schemas.openxmlformats.org/officeDocument/2006/customXml" ds:itemID="{A0E60DB6-EAD4-40A9-9FCA-A733C961F382}">
  <ds:schemaRefs/>
</ds:datastoreItem>
</file>

<file path=customXml/itemProps28.xml><?xml version="1.0" encoding="utf-8"?>
<ds:datastoreItem xmlns:ds="http://schemas.openxmlformats.org/officeDocument/2006/customXml" ds:itemID="{B63650FF-075B-4BAA-8DB3-811E27F6CD4D}">
  <ds:schemaRefs/>
</ds:datastoreItem>
</file>

<file path=customXml/itemProps29.xml><?xml version="1.0" encoding="utf-8"?>
<ds:datastoreItem xmlns:ds="http://schemas.openxmlformats.org/officeDocument/2006/customXml" ds:itemID="{DEDD7A64-C590-4A9D-A027-C85C325850C9}">
  <ds:schemaRefs/>
</ds:datastoreItem>
</file>

<file path=customXml/itemProps30.xml><?xml version="1.0" encoding="utf-8"?>
<ds:datastoreItem xmlns:ds="http://schemas.openxmlformats.org/officeDocument/2006/customXml" ds:itemID="{A7B73D1C-392A-4F01-B6E7-AF11B989B528}">
  <ds:schemaRefs/>
</ds:datastoreItem>
</file>

<file path=customXml/itemProps31.xml><?xml version="1.0" encoding="utf-8"?>
<ds:datastoreItem xmlns:ds="http://schemas.openxmlformats.org/officeDocument/2006/customXml" ds:itemID="{CBCAB38A-DCED-4BBC-8D08-145268E19BD8}">
  <ds:schemaRefs/>
</ds:datastoreItem>
</file>

<file path=customXml/itemProps32.xml><?xml version="1.0" encoding="utf-8"?>
<ds:datastoreItem xmlns:ds="http://schemas.openxmlformats.org/officeDocument/2006/customXml" ds:itemID="{8A1B3D0C-9F36-4A1D-BD90-0D4C2812CD88}">
  <ds:schemaRefs/>
</ds:datastoreItem>
</file>

<file path=customXml/itemProps33.xml><?xml version="1.0" encoding="utf-8"?>
<ds:datastoreItem xmlns:ds="http://schemas.openxmlformats.org/officeDocument/2006/customXml" ds:itemID="{3EA3A802-42DC-4848-813E-38C595E6C767}">
  <ds:schemaRefs/>
</ds:datastoreItem>
</file>

<file path=customXml/itemProps34.xml><?xml version="1.0" encoding="utf-8"?>
<ds:datastoreItem xmlns:ds="http://schemas.openxmlformats.org/officeDocument/2006/customXml" ds:itemID="{901BC106-4D7A-4A09-961F-4F09E53F7BFC}">
  <ds:schemaRefs/>
</ds:datastoreItem>
</file>

<file path=customXml/itemProps35.xml><?xml version="1.0" encoding="utf-8"?>
<ds:datastoreItem xmlns:ds="http://schemas.openxmlformats.org/officeDocument/2006/customXml" ds:itemID="{2513B997-D701-4306-A1DC-BE2130FDFB6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DASHBORD </vt:lpstr>
      <vt:lpstr>_Sales</vt:lpstr>
      <vt:lpstr>Purchases</vt:lpstr>
      <vt:lpstr>Expenses</vt:lpstr>
      <vt:lpstr>Customers</vt:lpstr>
      <vt:lpstr>Manager_Questions</vt:lpstr>
      <vt:lpstr>PIVIT TABLES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waris patel</dc:creator>
  <cp:lastModifiedBy>waris patel</cp:lastModifiedBy>
  <dcterms:created xsi:type="dcterms:W3CDTF">2026-09-04T14:29:18Z</dcterms:created>
  <dcterms:modified xsi:type="dcterms:W3CDTF">2026-09-07T10:07:34Z</dcterms:modified>
</cp:coreProperties>
</file>